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C59142E1-8ABE-4078-9DE9-0A7B4A8DCF99}" xr6:coauthVersionLast="47" xr6:coauthVersionMax="47" xr10:uidLastSave="{00000000-0000-0000-0000-000000000000}"/>
  <bookViews>
    <workbookView xWindow="28740" yWindow="-60" windowWidth="28920" windowHeight="15600" xr2:uid="{00000000-000D-0000-FFFF-FFFF00000000}"/>
  </bookViews>
  <sheets>
    <sheet name="Sheet1" sheetId="1" r:id="rId1"/>
  </sheets>
  <definedNames>
    <definedName name="_xlnm.Print_Area" localSheetId="0">Sheet1!$B$2:$AF$64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4" i="1" l="1"/>
  <c r="J41" i="1"/>
  <c r="D39" i="1"/>
  <c r="D38" i="1"/>
  <c r="D37" i="1"/>
  <c r="E27" i="1"/>
  <c r="D27" i="1"/>
  <c r="AE8" i="1"/>
  <c r="E19" i="1"/>
  <c r="D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I20" i="1"/>
  <c r="K64" i="1"/>
  <c r="E64" i="1"/>
  <c r="D64" i="1"/>
  <c r="Z48" i="1"/>
  <c r="J46" i="1"/>
  <c r="J47" i="1" s="1"/>
  <c r="D46" i="1"/>
  <c r="AE24" i="1"/>
  <c r="AE23" i="1"/>
  <c r="AE22" i="1"/>
  <c r="AE21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F10" i="1"/>
  <c r="AE10" i="1"/>
  <c r="AF9" i="1"/>
  <c r="AE9" i="1"/>
  <c r="AF8" i="1"/>
  <c r="AF20" i="1" l="1"/>
  <c r="AE20" i="1"/>
  <c r="D41" i="1"/>
  <c r="D47" i="1" s="1"/>
</calcChain>
</file>

<file path=xl/sharedStrings.xml><?xml version="1.0" encoding="utf-8"?>
<sst xmlns="http://schemas.openxmlformats.org/spreadsheetml/2006/main" count="163" uniqueCount="103">
  <si>
    <t>2025.11.25(화)</t>
  </si>
  <si>
    <t xml:space="preserve">운동 검사 통계 </t>
  </si>
  <si>
    <t xml:space="preserve">   PT  통계</t>
  </si>
  <si>
    <t>상 품</t>
  </si>
  <si>
    <t>금 액</t>
  </si>
  <si>
    <t>판매수량</t>
  </si>
  <si>
    <t>합 계</t>
  </si>
  <si>
    <t>PT 구분</t>
  </si>
  <si>
    <t>박원수</t>
  </si>
  <si>
    <t>신용석</t>
  </si>
  <si>
    <t>김준</t>
  </si>
  <si>
    <t>하현빈</t>
  </si>
  <si>
    <t>이재영</t>
  </si>
  <si>
    <t>김시온</t>
  </si>
  <si>
    <t>김병관</t>
  </si>
  <si>
    <t>최광민</t>
  </si>
  <si>
    <t>영업/기타</t>
  </si>
  <si>
    <t>합계</t>
  </si>
  <si>
    <t>종합검사</t>
  </si>
  <si>
    <t>상품</t>
  </si>
  <si>
    <t>당일</t>
  </si>
  <si>
    <t>누적</t>
  </si>
  <si>
    <t>기본검사</t>
  </si>
  <si>
    <t>체험권</t>
  </si>
  <si>
    <t>3D동작분석</t>
  </si>
  <si>
    <t>Medical test (기본)</t>
  </si>
  <si>
    <t>팀장 10회권</t>
  </si>
  <si>
    <t>Medical test (심층)</t>
  </si>
  <si>
    <t>팀장 20회권</t>
  </si>
  <si>
    <t>운동부하검사</t>
  </si>
  <si>
    <t>팀장 30회권</t>
  </si>
  <si>
    <t>등속성 + 윈게이트</t>
  </si>
  <si>
    <t>일반   1회권</t>
  </si>
  <si>
    <t>등속성 근 기능검사</t>
  </si>
  <si>
    <t>일반 10회권</t>
  </si>
  <si>
    <t>윈게이트</t>
  </si>
  <si>
    <t>일반 20회권</t>
  </si>
  <si>
    <t>중력조절보행검사</t>
  </si>
  <si>
    <t>일반 30회권</t>
  </si>
  <si>
    <t>중력조절보행재활</t>
  </si>
  <si>
    <t>그룹   1개월</t>
  </si>
  <si>
    <t>재활운동 프로그램</t>
  </si>
  <si>
    <t>그룹   3개월</t>
  </si>
  <si>
    <t>그룹   5개월</t>
  </si>
  <si>
    <t>건수 합계</t>
  </si>
  <si>
    <t>단       가</t>
  </si>
  <si>
    <t xml:space="preserve">상품 통계 </t>
  </si>
  <si>
    <t>할인 금액</t>
  </si>
  <si>
    <t>금액</t>
  </si>
  <si>
    <t>젠톡유전자키트</t>
  </si>
  <si>
    <t>누적 매출</t>
  </si>
  <si>
    <t>프로틴음료</t>
  </si>
  <si>
    <t>게토레이</t>
  </si>
  <si>
    <t>할인 내역 및 기타</t>
  </si>
  <si>
    <t>판매 수입</t>
  </si>
  <si>
    <t>결  재</t>
  </si>
  <si>
    <t>행정주임</t>
  </si>
  <si>
    <t>행정원장</t>
  </si>
  <si>
    <t>대표</t>
  </si>
  <si>
    <t>일일 매출 현황</t>
  </si>
  <si>
    <t>누적 매출 현황 (11월)</t>
  </si>
  <si>
    <t>매출 내역</t>
  </si>
  <si>
    <t>수입</t>
  </si>
  <si>
    <t>누적 수입</t>
  </si>
  <si>
    <t>현금 수입</t>
  </si>
  <si>
    <t>순번</t>
  </si>
  <si>
    <t>구분</t>
  </si>
  <si>
    <t>품목</t>
  </si>
  <si>
    <t>비고</t>
  </si>
  <si>
    <t>카드 수입</t>
  </si>
  <si>
    <t>계좌 이체</t>
  </si>
  <si>
    <t>판매</t>
  </si>
  <si>
    <t>지출</t>
  </si>
  <si>
    <t>누적 지출</t>
  </si>
  <si>
    <t>계좌</t>
  </si>
  <si>
    <t>일일 손익 계산</t>
  </si>
  <si>
    <t>누적 손익 계산</t>
  </si>
  <si>
    <t>총</t>
  </si>
  <si>
    <t xml:space="preserve">운동 검사 누적 합계 </t>
  </si>
  <si>
    <t xml:space="preserve">상품 판매 누적 합계 </t>
  </si>
  <si>
    <t>지출 내역</t>
  </si>
  <si>
    <t>시제관리</t>
  </si>
  <si>
    <t>건수</t>
  </si>
  <si>
    <t>판매 금액</t>
  </si>
  <si>
    <t>품목 / 지출내용</t>
  </si>
  <si>
    <t>잔액</t>
  </si>
  <si>
    <t>ZT</t>
  </si>
  <si>
    <t>ZB</t>
  </si>
  <si>
    <t>4,000 (9.16)</t>
  </si>
  <si>
    <t>누적 판매 수입</t>
  </si>
  <si>
    <t>2025.11.25.(화)</t>
    <phoneticPr fontId="67" type="noConversion"/>
  </si>
  <si>
    <t>카드</t>
    <phoneticPr fontId="67" type="noConversion"/>
  </si>
  <si>
    <t>계좌</t>
    <phoneticPr fontId="67" type="noConversion"/>
  </si>
  <si>
    <t>현금</t>
    <phoneticPr fontId="67" type="noConversion"/>
  </si>
  <si>
    <t xml:space="preserve">                                    일 일 통 계 현 황</t>
    <phoneticPr fontId="67" type="noConversion"/>
  </si>
  <si>
    <t>일 일 매 출 보 고</t>
    <phoneticPr fontId="67" type="noConversion"/>
  </si>
  <si>
    <t>팀장   1회권</t>
    <phoneticPr fontId="67" type="noConversion"/>
  </si>
  <si>
    <t>결제 금액</t>
    <phoneticPr fontId="67" type="noConversion"/>
  </si>
  <si>
    <t>현금 지출</t>
    <phoneticPr fontId="67" type="noConversion"/>
  </si>
  <si>
    <t>카드 결제</t>
    <phoneticPr fontId="67" type="noConversion"/>
  </si>
  <si>
    <t>계좌 이체</t>
    <phoneticPr fontId="67" type="noConversion"/>
  </si>
  <si>
    <t>일일 매출 내역</t>
    <phoneticPr fontId="67" type="noConversion"/>
  </si>
  <si>
    <t>총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</si>
</sst>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0_);[Red]\(0\)"/>
    <numFmt numFmtId="178" formatCode="_-* #,##0_-;\-* #,##0_-;_-* \-_-;_-@_-"/>
  </numFmts>
  <fonts count="68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00"/>
      <color rgb="FF000000"/>
      <name val="맑은 고딕"/>
      <family val="3"/>
      <charset val="129"/>
    </font>
    <font>
      <b/>
      <sz val="80"/>
      <color rgb="FF00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b/>
      <sz val="45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30"/>
      <color rgb="FF333333"/>
      <name val="맑은 고딕"/>
      <family val="3"/>
      <charset val="129"/>
    </font>
    <font>
      <b/>
      <sz val="12"/>
      <color rgb="FF333333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b/>
      <sz val="38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30"/>
      <color rgb="FF333333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30"/>
      <color theme="8"/>
      <name val="맑은 고딕"/>
      <family val="3"/>
      <charset val="129"/>
    </font>
    <font>
      <b/>
      <sz val="28"/>
      <color theme="8"/>
      <name val="맑은 고딕"/>
      <family val="3"/>
      <charset val="129"/>
    </font>
    <font>
      <b/>
      <sz val="36"/>
      <color rgb="FFFF0000"/>
      <name val="맑은 고딕"/>
      <family val="3"/>
      <charset val="129"/>
    </font>
    <font>
      <sz val="36"/>
      <color rgb="FFFF0000"/>
      <name val="맑은 고딕"/>
      <family val="3"/>
      <charset val="129"/>
    </font>
    <font>
      <sz val="36"/>
      <color theme="1"/>
      <name val="맑은 고딕"/>
      <family val="3"/>
      <charset val="129"/>
    </font>
    <font>
      <b/>
      <sz val="36"/>
      <color theme="1"/>
      <name val="맑은 고딕"/>
      <family val="3"/>
      <charset val="129"/>
    </font>
    <font>
      <b/>
      <sz val="35"/>
      <color rgb="FF333333"/>
      <name val="맑은 고딕"/>
      <family val="3"/>
      <charset val="129"/>
    </font>
    <font>
      <b/>
      <sz val="30"/>
      <color theme="3" tint="0.499984740745262"/>
      <name val="맑은 고딕"/>
      <family val="3"/>
      <charset val="129"/>
    </font>
    <font>
      <b/>
      <sz val="28"/>
      <color theme="3" tint="0.499984740745262"/>
      <name val="맑은 고딕"/>
      <family val="3"/>
      <charset val="129"/>
    </font>
    <font>
      <b/>
      <sz val="32"/>
      <color rgb="FF000000"/>
      <name val="맑은 고딕"/>
      <family val="3"/>
      <charset val="129"/>
      <scheme val="major"/>
    </font>
    <font>
      <b/>
      <sz val="35"/>
      <color theme="1"/>
      <name val="맑은 고딕"/>
      <family val="3"/>
      <charset val="129"/>
    </font>
    <font>
      <b/>
      <sz val="35"/>
      <color rgb="FF000000"/>
      <name val="맑은 고딕"/>
      <family val="3"/>
      <charset val="129"/>
    </font>
    <font>
      <sz val="28"/>
      <color theme="1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35"/>
      <color rgb="FFFF0000"/>
      <name val="맑은 고딕"/>
      <family val="3"/>
      <charset val="129"/>
    </font>
    <font>
      <sz val="28"/>
      <color rgb="FFFF0000"/>
      <name val="맑은 고딕"/>
      <family val="3"/>
      <charset val="129"/>
    </font>
    <font>
      <b/>
      <sz val="35"/>
      <color theme="9" tint="-0.249977111117893"/>
      <name val="맑은 고딕"/>
      <family val="3"/>
      <charset val="129"/>
    </font>
    <font>
      <b/>
      <sz val="28"/>
      <color theme="9" tint="-0.249977111117893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28"/>
      <name val="맑은 고딕"/>
      <family val="3"/>
      <charset val="129"/>
    </font>
    <font>
      <b/>
      <sz val="28"/>
      <color rgb="FF3366FF"/>
      <name val="맑은 고딕"/>
      <family val="3"/>
      <charset val="129"/>
    </font>
    <font>
      <b/>
      <sz val="36"/>
      <color rgb="FF0000FF"/>
      <name val="맑은 고딕"/>
      <family val="3"/>
      <charset val="129"/>
    </font>
    <font>
      <b/>
      <sz val="40"/>
      <name val="맑은 고딕"/>
      <family val="3"/>
      <charset val="129"/>
    </font>
    <font>
      <b/>
      <sz val="40"/>
      <color rgb="FF0000FF"/>
      <name val="맑은 고딕"/>
      <family val="3"/>
      <charset val="129"/>
    </font>
    <font>
      <b/>
      <sz val="35"/>
      <color rgb="FF000000"/>
      <name val="맑은 고딕"/>
      <family val="3"/>
      <charset val="129"/>
      <scheme val="major"/>
    </font>
    <font>
      <b/>
      <sz val="40"/>
      <color theme="1"/>
      <name val="맑은 고딕"/>
      <family val="3"/>
      <charset val="129"/>
    </font>
    <font>
      <b/>
      <sz val="45"/>
      <color theme="1"/>
      <name val="맑은 고딕"/>
      <family val="3"/>
      <charset val="129"/>
    </font>
    <font>
      <b/>
      <sz val="60"/>
      <color rgb="FF000000"/>
      <name val="맑은 고딕"/>
      <family val="3"/>
      <charset val="129"/>
    </font>
    <font>
      <b/>
      <sz val="50"/>
      <color rgb="FF000000"/>
      <name val="맑은 고딕"/>
      <family val="3"/>
      <charset val="129"/>
    </font>
    <font>
      <b/>
      <sz val="45"/>
      <color rgb="FF000000"/>
      <name val="맑은 고딕"/>
      <family val="3"/>
      <charset val="129"/>
    </font>
    <font>
      <sz val="45"/>
      <color rgb="FF000000"/>
      <name val="맑은 고딕"/>
      <family val="3"/>
      <charset val="129"/>
    </font>
    <font>
      <b/>
      <sz val="40"/>
      <color rgb="FF000000"/>
      <name val="맑은 고딕"/>
      <family val="3"/>
      <charset val="129"/>
    </font>
    <font>
      <b/>
      <sz val="40"/>
      <color rgb="FF000000"/>
      <name val="KoPubWorld돋움체 Medium"/>
      <family val="3"/>
      <charset val="129"/>
    </font>
    <font>
      <b/>
      <sz val="36"/>
      <color rgb="FF000000"/>
      <name val="KoPubWorld돋움체 Medium"/>
      <family val="3"/>
      <charset val="129"/>
    </font>
    <font>
      <sz val="40"/>
      <color rgb="FF000000"/>
      <name val="맑은 고딕"/>
      <family val="3"/>
      <charset val="129"/>
    </font>
    <font>
      <sz val="45"/>
      <color rgb="FFFF0000"/>
      <name val="맑은 고딕"/>
      <family val="3"/>
      <charset val="129"/>
    </font>
    <font>
      <b/>
      <sz val="50"/>
      <color rgb="FF000000"/>
      <name val="맑은 고딕"/>
      <family val="3"/>
      <charset val="129"/>
      <scheme val="major"/>
    </font>
    <font>
      <b/>
      <sz val="45"/>
      <color rgb="FFFF0000"/>
      <name val="맑은 고딕"/>
      <family val="3"/>
      <charset val="129"/>
    </font>
    <font>
      <b/>
      <sz val="50"/>
      <color rgb="FFFF0000"/>
      <name val="맑은 고딕"/>
      <family val="3"/>
      <charset val="129"/>
      <scheme val="major"/>
    </font>
    <font>
      <b/>
      <sz val="45"/>
      <color rgb="FF3366FF"/>
      <name val="맑은 고딕"/>
      <family val="3"/>
      <charset val="129"/>
    </font>
    <font>
      <sz val="50"/>
      <color rgb="FF000000"/>
      <name val="맑은 고딕"/>
      <family val="3"/>
      <charset val="129"/>
    </font>
    <font>
      <b/>
      <sz val="40"/>
      <color rgb="FFFF0000"/>
      <name val="맑은 고딕"/>
      <family val="3"/>
      <charset val="129"/>
    </font>
    <font>
      <b/>
      <sz val="60"/>
      <name val="맑은 고딕"/>
      <family val="3"/>
      <charset val="129"/>
    </font>
    <font>
      <b/>
      <sz val="35"/>
      <name val="맑은 고딕"/>
      <family val="3"/>
      <charset val="129"/>
    </font>
    <font>
      <b/>
      <sz val="34"/>
      <color rgb="FF000000"/>
      <name val="맑은 고딕"/>
      <family val="3"/>
      <charset val="129"/>
    </font>
    <font>
      <b/>
      <sz val="35"/>
      <color theme="9" tint="0.79998168889431442"/>
      <name val="맑은 고딕"/>
      <family val="3"/>
      <charset val="129"/>
      <scheme val="major"/>
    </font>
    <font>
      <sz val="35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CCCCFF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CCCC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6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ck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/>
      <diagonal/>
    </border>
    <border>
      <left style="thick">
        <color indexed="64"/>
      </left>
      <right style="thin">
        <color auto="1"/>
      </right>
      <top style="dotted">
        <color indexed="64"/>
      </top>
      <bottom/>
      <diagonal/>
    </border>
    <border>
      <left style="thin">
        <color auto="1"/>
      </left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auto="1"/>
      </right>
      <top style="medium">
        <color indexed="64"/>
      </top>
      <bottom/>
      <diagonal/>
    </border>
    <border>
      <left style="thick">
        <color indexed="64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auto="1"/>
      </right>
      <top style="thick">
        <color indexed="64"/>
      </top>
      <bottom/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ck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indexed="64"/>
      </right>
      <top style="thin">
        <color auto="1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auto="1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42" fontId="66" fillId="0" borderId="0" applyFont="0" applyFill="0" applyBorder="0" applyAlignment="0" applyProtection="0">
      <alignment vertical="center"/>
    </xf>
  </cellStyleXfs>
  <cellXfs count="506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7" fontId="2" fillId="0" borderId="0" xfId="0" applyNumberFormat="1" applyFont="1" applyAlignment="1">
      <alignment horizontal="center" vertical="center"/>
    </xf>
    <xf numFmtId="176" fontId="4" fillId="2" borderId="0" xfId="0" applyNumberFormat="1" applyFont="1" applyFill="1" applyAlignment="1">
      <alignment vertical="center"/>
    </xf>
    <xf numFmtId="177" fontId="7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3" borderId="7" xfId="0" applyNumberFormat="1" applyFont="1" applyFill="1" applyBorder="1" applyAlignment="1">
      <alignment horizontal="center" vertical="center"/>
    </xf>
    <xf numFmtId="176" fontId="10" fillId="3" borderId="8" xfId="0" applyNumberFormat="1" applyFont="1" applyFill="1" applyBorder="1" applyAlignment="1">
      <alignment horizontal="center" vertical="center"/>
    </xf>
    <xf numFmtId="176" fontId="10" fillId="4" borderId="9" xfId="0" applyNumberFormat="1" applyFont="1" applyFill="1" applyBorder="1" applyAlignment="1">
      <alignment horizontal="center" vertical="center"/>
    </xf>
    <xf numFmtId="176" fontId="10" fillId="5" borderId="15" xfId="0" applyNumberFormat="1" applyFont="1" applyFill="1" applyBorder="1" applyAlignment="1">
      <alignment horizontal="center" vertical="center"/>
    </xf>
    <xf numFmtId="176" fontId="10" fillId="5" borderId="16" xfId="0" applyNumberFormat="1" applyFont="1" applyFill="1" applyBorder="1" applyAlignment="1">
      <alignment horizontal="right" vertical="center"/>
    </xf>
    <xf numFmtId="176" fontId="10" fillId="5" borderId="16" xfId="0" applyNumberFormat="1" applyFont="1" applyFill="1" applyBorder="1" applyAlignment="1">
      <alignment horizontal="center" vertical="center"/>
    </xf>
    <xf numFmtId="178" fontId="14" fillId="2" borderId="17" xfId="0" applyNumberFormat="1" applyFont="1" applyFill="1" applyBorder="1" applyAlignment="1">
      <alignment vertical="center"/>
    </xf>
    <xf numFmtId="176" fontId="12" fillId="6" borderId="18" xfId="0" applyNumberFormat="1" applyFont="1" applyFill="1" applyBorder="1" applyAlignment="1">
      <alignment horizontal="center" vertical="center"/>
    </xf>
    <xf numFmtId="176" fontId="12" fillId="6" borderId="19" xfId="0" applyNumberFormat="1" applyFont="1" applyFill="1" applyBorder="1" applyAlignment="1">
      <alignment horizontal="center" vertical="center"/>
    </xf>
    <xf numFmtId="176" fontId="14" fillId="7" borderId="18" xfId="0" applyNumberFormat="1" applyFont="1" applyFill="1" applyBorder="1" applyAlignment="1">
      <alignment horizontal="center" vertical="center"/>
    </xf>
    <xf numFmtId="176" fontId="14" fillId="2" borderId="20" xfId="0" applyNumberFormat="1" applyFont="1" applyFill="1" applyBorder="1" applyAlignment="1">
      <alignment horizontal="center" vertical="center"/>
    </xf>
    <xf numFmtId="176" fontId="14" fillId="7" borderId="20" xfId="0" applyNumberFormat="1" applyFont="1" applyFill="1" applyBorder="1" applyAlignment="1">
      <alignment horizontal="center" vertical="center"/>
    </xf>
    <xf numFmtId="176" fontId="14" fillId="2" borderId="19" xfId="0" applyNumberFormat="1" applyFont="1" applyFill="1" applyBorder="1" applyAlignment="1">
      <alignment horizontal="center" vertical="center"/>
    </xf>
    <xf numFmtId="176" fontId="14" fillId="2" borderId="21" xfId="0" applyNumberFormat="1" applyFont="1" applyFill="1" applyBorder="1" applyAlignment="1">
      <alignment horizontal="center" vertical="center"/>
    </xf>
    <xf numFmtId="176" fontId="15" fillId="5" borderId="22" xfId="0" applyNumberFormat="1" applyFont="1" applyFill="1" applyBorder="1" applyAlignment="1">
      <alignment horizontal="center" vertical="center" wrapText="1"/>
    </xf>
    <xf numFmtId="176" fontId="15" fillId="5" borderId="23" xfId="0" applyNumberFormat="1" applyFont="1" applyFill="1" applyBorder="1" applyAlignment="1">
      <alignment horizontal="right" vertical="center"/>
    </xf>
    <xf numFmtId="176" fontId="10" fillId="5" borderId="23" xfId="0" applyNumberFormat="1" applyFont="1" applyFill="1" applyBorder="1" applyAlignment="1">
      <alignment horizontal="center" vertical="center"/>
    </xf>
    <xf numFmtId="178" fontId="14" fillId="2" borderId="24" xfId="0" applyNumberFormat="1" applyFont="1" applyFill="1" applyBorder="1" applyAlignment="1">
      <alignment vertical="center"/>
    </xf>
    <xf numFmtId="176" fontId="14" fillId="2" borderId="25" xfId="0" applyNumberFormat="1" applyFont="1" applyFill="1" applyBorder="1" applyAlignment="1">
      <alignment horizontal="center" vertical="center"/>
    </xf>
    <xf numFmtId="176" fontId="16" fillId="2" borderId="19" xfId="0" applyNumberFormat="1" applyFont="1" applyFill="1" applyBorder="1" applyAlignment="1">
      <alignment horizontal="right" vertical="center"/>
    </xf>
    <xf numFmtId="176" fontId="14" fillId="7" borderId="26" xfId="0" applyNumberFormat="1" applyFont="1" applyFill="1" applyBorder="1" applyAlignment="1">
      <alignment horizontal="center" vertical="center"/>
    </xf>
    <xf numFmtId="176" fontId="17" fillId="2" borderId="17" xfId="0" applyNumberFormat="1" applyFont="1" applyFill="1" applyBorder="1" applyAlignment="1">
      <alignment horizontal="center" vertical="center"/>
    </xf>
    <xf numFmtId="176" fontId="15" fillId="5" borderId="22" xfId="0" applyNumberFormat="1" applyFont="1" applyFill="1" applyBorder="1" applyAlignment="1">
      <alignment horizontal="center" vertical="center"/>
    </xf>
    <xf numFmtId="178" fontId="14" fillId="2" borderId="27" xfId="0" applyNumberFormat="1" applyFont="1" applyFill="1" applyBorder="1" applyAlignment="1">
      <alignment horizontal="center" vertical="center"/>
    </xf>
    <xf numFmtId="178" fontId="16" fillId="2" borderId="28" xfId="0" applyNumberFormat="1" applyFont="1" applyFill="1" applyBorder="1" applyAlignment="1">
      <alignment horizontal="center" vertical="center"/>
    </xf>
    <xf numFmtId="178" fontId="18" fillId="7" borderId="27" xfId="0" applyNumberFormat="1" applyFont="1" applyFill="1" applyBorder="1" applyAlignment="1">
      <alignment horizontal="center" vertical="center"/>
    </xf>
    <xf numFmtId="176" fontId="17" fillId="2" borderId="16" xfId="0" applyNumberFormat="1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178" fontId="14" fillId="2" borderId="29" xfId="0" applyNumberFormat="1" applyFont="1" applyFill="1" applyBorder="1" applyAlignment="1">
      <alignment horizontal="center" vertical="center"/>
    </xf>
    <xf numFmtId="178" fontId="16" fillId="2" borderId="30" xfId="0" applyNumberFormat="1" applyFont="1" applyFill="1" applyBorder="1" applyAlignment="1">
      <alignment horizontal="center" vertical="center"/>
    </xf>
    <xf numFmtId="178" fontId="18" fillId="7" borderId="29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8" fillId="7" borderId="23" xfId="0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176" fontId="17" fillId="2" borderId="24" xfId="0" applyNumberFormat="1" applyFont="1" applyFill="1" applyBorder="1" applyAlignment="1">
      <alignment horizontal="center" vertical="center"/>
    </xf>
    <xf numFmtId="178" fontId="14" fillId="2" borderId="31" xfId="0" applyNumberFormat="1" applyFont="1" applyFill="1" applyBorder="1" applyAlignment="1">
      <alignment horizontal="center" vertical="center"/>
    </xf>
    <xf numFmtId="178" fontId="16" fillId="2" borderId="32" xfId="0" applyNumberFormat="1" applyFont="1" applyFill="1" applyBorder="1" applyAlignment="1">
      <alignment horizontal="center" vertical="center"/>
    </xf>
    <xf numFmtId="178" fontId="18" fillId="7" borderId="33" xfId="0" applyNumberFormat="1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8" fillId="7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176" fontId="17" fillId="2" borderId="38" xfId="0" applyNumberFormat="1" applyFont="1" applyFill="1" applyBorder="1" applyAlignment="1">
      <alignment horizontal="center" vertical="center"/>
    </xf>
    <xf numFmtId="178" fontId="19" fillId="2" borderId="39" xfId="0" applyNumberFormat="1" applyFont="1" applyFill="1" applyBorder="1" applyAlignment="1">
      <alignment horizontal="center" vertical="center"/>
    </xf>
    <xf numFmtId="178" fontId="20" fillId="2" borderId="28" xfId="0" applyNumberFormat="1" applyFont="1" applyFill="1" applyBorder="1" applyAlignment="1">
      <alignment horizontal="center" vertical="center"/>
    </xf>
    <xf numFmtId="178" fontId="21" fillId="7" borderId="27" xfId="0" applyNumberFormat="1" applyFont="1" applyFill="1" applyBorder="1" applyAlignment="1">
      <alignment horizontal="center" vertical="center"/>
    </xf>
    <xf numFmtId="178" fontId="22" fillId="0" borderId="16" xfId="0" applyNumberFormat="1" applyFont="1" applyBorder="1" applyAlignment="1">
      <alignment horizontal="center" vertical="center"/>
    </xf>
    <xf numFmtId="178" fontId="21" fillId="7" borderId="16" xfId="0" applyNumberFormat="1" applyFont="1" applyFill="1" applyBorder="1" applyAlignment="1">
      <alignment horizontal="center" vertical="center"/>
    </xf>
    <xf numFmtId="178" fontId="23" fillId="0" borderId="16" xfId="0" applyNumberFormat="1" applyFont="1" applyBorder="1" applyAlignment="1">
      <alignment horizontal="center" vertical="center"/>
    </xf>
    <xf numFmtId="178" fontId="22" fillId="0" borderId="40" xfId="0" applyNumberFormat="1" applyFont="1" applyBorder="1" applyAlignment="1">
      <alignment horizontal="center" vertical="center"/>
    </xf>
    <xf numFmtId="178" fontId="22" fillId="0" borderId="41" xfId="0" applyNumberFormat="1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center" vertical="center"/>
    </xf>
    <xf numFmtId="176" fontId="15" fillId="0" borderId="23" xfId="0" applyNumberFormat="1" applyFont="1" applyBorder="1" applyAlignment="1">
      <alignment horizontal="right" vertical="center"/>
    </xf>
    <xf numFmtId="178" fontId="19" fillId="2" borderId="29" xfId="0" applyNumberFormat="1" applyFont="1" applyFill="1" applyBorder="1" applyAlignment="1">
      <alignment horizontal="center" vertical="center"/>
    </xf>
    <xf numFmtId="178" fontId="20" fillId="2" borderId="30" xfId="0" applyNumberFormat="1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center" vertical="center"/>
    </xf>
    <xf numFmtId="178" fontId="24" fillId="7" borderId="29" xfId="0" applyNumberFormat="1" applyFont="1" applyFill="1" applyBorder="1" applyAlignment="1">
      <alignment horizontal="center" vertical="center"/>
    </xf>
    <xf numFmtId="178" fontId="23" fillId="0" borderId="23" xfId="0" applyNumberFormat="1" applyFont="1" applyBorder="1" applyAlignment="1">
      <alignment horizontal="center" vertical="center"/>
    </xf>
    <xf numFmtId="178" fontId="24" fillId="7" borderId="23" xfId="0" applyNumberFormat="1" applyFont="1" applyFill="1" applyBorder="1" applyAlignment="1">
      <alignment horizontal="center" vertical="center"/>
    </xf>
    <xf numFmtId="178" fontId="23" fillId="0" borderId="30" xfId="0" applyNumberFormat="1" applyFont="1" applyBorder="1" applyAlignment="1">
      <alignment horizontal="center" vertical="center"/>
    </xf>
    <xf numFmtId="178" fontId="23" fillId="0" borderId="24" xfId="0" applyNumberFormat="1" applyFont="1" applyBorder="1" applyAlignment="1">
      <alignment horizontal="center" vertical="center"/>
    </xf>
    <xf numFmtId="178" fontId="19" fillId="2" borderId="31" xfId="0" applyNumberFormat="1" applyFont="1" applyFill="1" applyBorder="1" applyAlignment="1">
      <alignment horizontal="center" vertical="center"/>
    </xf>
    <xf numFmtId="178" fontId="20" fillId="2" borderId="35" xfId="0" applyNumberFormat="1" applyFont="1" applyFill="1" applyBorder="1" applyAlignment="1">
      <alignment horizontal="center" vertical="center"/>
    </xf>
    <xf numFmtId="176" fontId="18" fillId="7" borderId="33" xfId="0" applyNumberFormat="1" applyFont="1" applyFill="1" applyBorder="1" applyAlignment="1">
      <alignment horizontal="center" vertical="center"/>
    </xf>
    <xf numFmtId="176" fontId="17" fillId="2" borderId="34" xfId="0" applyNumberFormat="1" applyFont="1" applyFill="1" applyBorder="1" applyAlignment="1">
      <alignment horizontal="center" vertical="center"/>
    </xf>
    <xf numFmtId="176" fontId="18" fillId="7" borderId="34" xfId="0" applyNumberFormat="1" applyFont="1" applyFill="1" applyBorder="1" applyAlignment="1">
      <alignment horizontal="center" vertical="center"/>
    </xf>
    <xf numFmtId="176" fontId="17" fillId="2" borderId="32" xfId="0" applyNumberFormat="1" applyFont="1" applyFill="1" applyBorder="1" applyAlignment="1">
      <alignment horizontal="center" vertical="center"/>
    </xf>
    <xf numFmtId="176" fontId="17" fillId="2" borderId="36" xfId="0" applyNumberFormat="1" applyFont="1" applyFill="1" applyBorder="1" applyAlignment="1">
      <alignment horizontal="center" vertical="center"/>
    </xf>
    <xf numFmtId="176" fontId="25" fillId="2" borderId="23" xfId="0" applyNumberFormat="1" applyFont="1" applyFill="1" applyBorder="1" applyAlignment="1">
      <alignment horizontal="center" vertical="center"/>
    </xf>
    <xf numFmtId="178" fontId="26" fillId="2" borderId="39" xfId="0" applyNumberFormat="1" applyFont="1" applyFill="1" applyBorder="1" applyAlignment="1">
      <alignment horizontal="center" vertical="center"/>
    </xf>
    <xf numFmtId="178" fontId="27" fillId="2" borderId="40" xfId="0" applyNumberFormat="1" applyFont="1" applyFill="1" applyBorder="1" applyAlignment="1">
      <alignment horizontal="center" vertical="center"/>
    </xf>
    <xf numFmtId="176" fontId="18" fillId="7" borderId="27" xfId="0" applyNumberFormat="1" applyFont="1" applyFill="1" applyBorder="1" applyAlignment="1">
      <alignment horizontal="center" vertical="center"/>
    </xf>
    <xf numFmtId="176" fontId="18" fillId="7" borderId="16" xfId="0" applyNumberFormat="1" applyFont="1" applyFill="1" applyBorder="1" applyAlignment="1">
      <alignment horizontal="center" vertical="center"/>
    </xf>
    <xf numFmtId="176" fontId="17" fillId="2" borderId="28" xfId="0" applyNumberFormat="1" applyFont="1" applyFill="1" applyBorder="1" applyAlignment="1">
      <alignment horizontal="center" vertical="center"/>
    </xf>
    <xf numFmtId="176" fontId="17" fillId="2" borderId="41" xfId="0" applyNumberFormat="1" applyFont="1" applyFill="1" applyBorder="1" applyAlignment="1">
      <alignment horizontal="center" vertical="center"/>
    </xf>
    <xf numFmtId="176" fontId="15" fillId="0" borderId="43" xfId="0" applyNumberFormat="1" applyFont="1" applyBorder="1" applyAlignment="1">
      <alignment horizontal="center" vertical="center"/>
    </xf>
    <xf numFmtId="176" fontId="15" fillId="0" borderId="37" xfId="0" applyNumberFormat="1" applyFont="1" applyBorder="1" applyAlignment="1">
      <alignment horizontal="right" vertical="center"/>
    </xf>
    <xf numFmtId="176" fontId="10" fillId="5" borderId="37" xfId="0" applyNumberFormat="1" applyFont="1" applyFill="1" applyBorder="1" applyAlignment="1">
      <alignment horizontal="center" vertical="center"/>
    </xf>
    <xf numFmtId="178" fontId="14" fillId="2" borderId="36" xfId="0" applyNumberFormat="1" applyFont="1" applyFill="1" applyBorder="1" applyAlignment="1">
      <alignment vertical="center"/>
    </xf>
    <xf numFmtId="178" fontId="26" fillId="2" borderId="29" xfId="0" applyNumberFormat="1" applyFont="1" applyFill="1" applyBorder="1" applyAlignment="1">
      <alignment horizontal="center" vertical="center"/>
    </xf>
    <xf numFmtId="178" fontId="27" fillId="2" borderId="30" xfId="0" applyNumberFormat="1" applyFont="1" applyFill="1" applyBorder="1" applyAlignment="1">
      <alignment horizontal="center" vertical="center"/>
    </xf>
    <xf numFmtId="176" fontId="25" fillId="6" borderId="44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8" fillId="7" borderId="37" xfId="0" applyFont="1" applyFill="1" applyBorder="1" applyAlignment="1">
      <alignment horizontal="center" vertical="center"/>
    </xf>
    <xf numFmtId="176" fontId="30" fillId="2" borderId="21" xfId="0" applyNumberFormat="1" applyFont="1" applyFill="1" applyBorder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76" fontId="1" fillId="0" borderId="59" xfId="0" applyNumberFormat="1" applyFont="1" applyBorder="1" applyAlignment="1">
      <alignment vertical="center"/>
    </xf>
    <xf numFmtId="176" fontId="10" fillId="3" borderId="60" xfId="0" applyNumberFormat="1" applyFont="1" applyFill="1" applyBorder="1" applyAlignment="1">
      <alignment horizontal="center" vertical="center"/>
    </xf>
    <xf numFmtId="176" fontId="10" fillId="3" borderId="48" xfId="0" applyNumberFormat="1" applyFont="1" applyFill="1" applyBorder="1" applyAlignment="1">
      <alignment horizontal="center" vertical="center"/>
    </xf>
    <xf numFmtId="176" fontId="10" fillId="3" borderId="49" xfId="0" applyNumberFormat="1" applyFont="1" applyFill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176" fontId="15" fillId="0" borderId="65" xfId="0" applyNumberFormat="1" applyFont="1" applyBorder="1" applyAlignment="1">
      <alignment horizontal="right" vertical="center"/>
    </xf>
    <xf numFmtId="176" fontId="15" fillId="0" borderId="65" xfId="0" applyNumberFormat="1" applyFont="1" applyBorder="1" applyAlignment="1">
      <alignment horizontal="center" vertical="center"/>
    </xf>
    <xf numFmtId="178" fontId="37" fillId="2" borderId="41" xfId="0" applyNumberFormat="1" applyFont="1" applyFill="1" applyBorder="1" applyAlignment="1">
      <alignment vertical="center"/>
    </xf>
    <xf numFmtId="176" fontId="15" fillId="0" borderId="23" xfId="0" applyNumberFormat="1" applyFont="1" applyBorder="1" applyAlignment="1">
      <alignment horizontal="center" vertical="center"/>
    </xf>
    <xf numFmtId="178" fontId="37" fillId="2" borderId="36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76" fontId="15" fillId="0" borderId="37" xfId="0" applyNumberFormat="1" applyFont="1" applyBorder="1" applyAlignment="1">
      <alignment horizontal="center" vertical="center"/>
    </xf>
    <xf numFmtId="177" fontId="41" fillId="0" borderId="73" xfId="0" applyNumberFormat="1" applyFont="1" applyBorder="1" applyAlignment="1">
      <alignment vertical="center"/>
    </xf>
    <xf numFmtId="177" fontId="41" fillId="0" borderId="75" xfId="0" applyNumberFormat="1" applyFont="1" applyBorder="1" applyAlignment="1">
      <alignment vertical="center"/>
    </xf>
    <xf numFmtId="177" fontId="41" fillId="0" borderId="76" xfId="0" applyNumberFormat="1" applyFont="1" applyBorder="1" applyAlignment="1">
      <alignment vertical="center"/>
    </xf>
    <xf numFmtId="177" fontId="40" fillId="0" borderId="77" xfId="0" applyNumberFormat="1" applyFont="1" applyBorder="1" applyAlignment="1">
      <alignment vertical="center"/>
    </xf>
    <xf numFmtId="177" fontId="42" fillId="0" borderId="78" xfId="0" applyNumberFormat="1" applyFont="1" applyBorder="1" applyAlignment="1">
      <alignment vertical="center"/>
    </xf>
    <xf numFmtId="177" fontId="42" fillId="0" borderId="79" xfId="0" applyNumberFormat="1" applyFont="1" applyBorder="1" applyAlignment="1">
      <alignment vertical="center"/>
    </xf>
    <xf numFmtId="177" fontId="2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5" fillId="11" borderId="0" xfId="0" applyNumberFormat="1" applyFont="1" applyFill="1" applyAlignment="1">
      <alignment vertical="center"/>
    </xf>
    <xf numFmtId="176" fontId="46" fillId="0" borderId="0" xfId="0" applyNumberFormat="1" applyFont="1" applyAlignment="1">
      <alignment vertical="center"/>
    </xf>
    <xf numFmtId="176" fontId="48" fillId="2" borderId="89" xfId="0" applyNumberFormat="1" applyFont="1" applyFill="1" applyBorder="1" applyAlignment="1">
      <alignment horizontal="center" vertical="center"/>
    </xf>
    <xf numFmtId="176" fontId="50" fillId="2" borderId="91" xfId="0" applyNumberFormat="1" applyFont="1" applyFill="1" applyBorder="1" applyAlignment="1">
      <alignment horizontal="center" vertical="center"/>
    </xf>
    <xf numFmtId="176" fontId="48" fillId="2" borderId="30" xfId="0" applyNumberFormat="1" applyFont="1" applyFill="1" applyBorder="1" applyAlignment="1">
      <alignment horizontal="center" vertical="center"/>
    </xf>
    <xf numFmtId="176" fontId="50" fillId="2" borderId="97" xfId="0" applyNumberFormat="1" applyFont="1" applyFill="1" applyBorder="1" applyAlignment="1">
      <alignment horizontal="center" vertical="center"/>
    </xf>
    <xf numFmtId="0" fontId="52" fillId="0" borderId="100" xfId="0" applyFont="1" applyBorder="1" applyAlignment="1">
      <alignment horizontal="center" vertical="center" wrapText="1"/>
    </xf>
    <xf numFmtId="0" fontId="52" fillId="0" borderId="101" xfId="0" applyFont="1" applyBorder="1" applyAlignment="1">
      <alignment horizontal="center" vertical="center"/>
    </xf>
    <xf numFmtId="176" fontId="50" fillId="2" borderId="105" xfId="0" applyNumberFormat="1" applyFont="1" applyFill="1" applyBorder="1" applyAlignment="1">
      <alignment horizontal="center" vertical="center"/>
    </xf>
    <xf numFmtId="176" fontId="53" fillId="0" borderId="103" xfId="0" applyNumberFormat="1" applyFont="1" applyBorder="1" applyAlignment="1">
      <alignment horizontal="center" vertical="center"/>
    </xf>
    <xf numFmtId="176" fontId="53" fillId="0" borderId="0" xfId="0" applyNumberFormat="1" applyFont="1" applyAlignment="1">
      <alignment vertical="center"/>
    </xf>
    <xf numFmtId="41" fontId="55" fillId="2" borderId="0" xfId="0" applyNumberFormat="1" applyFont="1" applyFill="1" applyAlignment="1">
      <alignment vertical="center"/>
    </xf>
    <xf numFmtId="41" fontId="57" fillId="2" borderId="0" xfId="0" applyNumberFormat="1" applyFont="1" applyFill="1" applyAlignment="1">
      <alignment vertical="center"/>
    </xf>
    <xf numFmtId="41" fontId="57" fillId="2" borderId="116" xfId="0" applyNumberFormat="1" applyFont="1" applyFill="1" applyBorder="1" applyAlignment="1">
      <alignment vertical="center"/>
    </xf>
    <xf numFmtId="176" fontId="50" fillId="2" borderId="117" xfId="0" applyNumberFormat="1" applyFont="1" applyFill="1" applyBorder="1" applyAlignment="1">
      <alignment horizontal="center" vertical="center"/>
    </xf>
    <xf numFmtId="176" fontId="59" fillId="0" borderId="59" xfId="0" applyNumberFormat="1" applyFont="1" applyBorder="1" applyAlignment="1">
      <alignment vertical="center"/>
    </xf>
    <xf numFmtId="176" fontId="59" fillId="0" borderId="0" xfId="0" applyNumberFormat="1" applyFont="1" applyAlignment="1">
      <alignment vertical="center"/>
    </xf>
    <xf numFmtId="176" fontId="48" fillId="2" borderId="0" xfId="0" applyNumberFormat="1" applyFont="1" applyFill="1" applyAlignment="1">
      <alignment vertical="center" wrapText="1"/>
    </xf>
    <xf numFmtId="176" fontId="1" fillId="2" borderId="0" xfId="0" applyNumberFormat="1" applyFont="1" applyFill="1" applyAlignment="1">
      <alignment vertical="center"/>
    </xf>
    <xf numFmtId="176" fontId="61" fillId="0" borderId="0" xfId="0" applyNumberFormat="1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0" fillId="3" borderId="20" xfId="0" applyNumberFormat="1" applyFont="1" applyFill="1" applyBorder="1" applyAlignment="1">
      <alignment horizontal="center" vertical="center"/>
    </xf>
    <xf numFmtId="176" fontId="30" fillId="2" borderId="0" xfId="0" applyNumberFormat="1" applyFont="1" applyFill="1" applyAlignment="1">
      <alignment vertical="center"/>
    </xf>
    <xf numFmtId="176" fontId="63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/>
    </xf>
    <xf numFmtId="176" fontId="37" fillId="0" borderId="0" xfId="0" applyNumberFormat="1" applyFont="1" applyAlignment="1">
      <alignment horizontal="center" vertical="center"/>
    </xf>
    <xf numFmtId="176" fontId="15" fillId="0" borderId="13" xfId="0" applyNumberFormat="1" applyFont="1" applyBorder="1" applyAlignment="1">
      <alignment horizontal="right" vertical="center"/>
    </xf>
    <xf numFmtId="176" fontId="10" fillId="5" borderId="13" xfId="0" applyNumberFormat="1" applyFont="1" applyFill="1" applyBorder="1" applyAlignment="1">
      <alignment horizontal="center" vertical="center"/>
    </xf>
    <xf numFmtId="176" fontId="30" fillId="2" borderId="128" xfId="0" applyNumberFormat="1" applyFont="1" applyFill="1" applyBorder="1" applyAlignment="1">
      <alignment horizontal="center" vertical="center"/>
    </xf>
    <xf numFmtId="176" fontId="30" fillId="0" borderId="130" xfId="0" applyNumberFormat="1" applyFont="1" applyBorder="1" applyAlignment="1">
      <alignment horizontal="center" vertical="center"/>
    </xf>
    <xf numFmtId="176" fontId="25" fillId="6" borderId="132" xfId="0" applyNumberFormat="1" applyFont="1" applyFill="1" applyBorder="1" applyAlignment="1">
      <alignment horizontal="center" vertical="center"/>
    </xf>
    <xf numFmtId="41" fontId="28" fillId="6" borderId="133" xfId="0" applyNumberFormat="1" applyFont="1" applyFill="1" applyBorder="1" applyAlignment="1">
      <alignment vertical="center"/>
    </xf>
    <xf numFmtId="176" fontId="21" fillId="0" borderId="0" xfId="0" applyNumberFormat="1" applyFont="1" applyAlignment="1">
      <alignment horizontal="center" vertical="center"/>
    </xf>
    <xf numFmtId="176" fontId="5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6" fontId="12" fillId="2" borderId="11" xfId="0" applyNumberFormat="1" applyFont="1" applyFill="1" applyBorder="1" applyAlignment="1">
      <alignment horizontal="center" vertical="center"/>
    </xf>
    <xf numFmtId="176" fontId="12" fillId="2" borderId="12" xfId="0" applyNumberFormat="1" applyFont="1" applyFill="1" applyBorder="1" applyAlignment="1">
      <alignment horizontal="center" vertical="center"/>
    </xf>
    <xf numFmtId="176" fontId="13" fillId="2" borderId="13" xfId="0" applyNumberFormat="1" applyFont="1" applyFill="1" applyBorder="1" applyAlignment="1">
      <alignment horizontal="center" vertical="center"/>
    </xf>
    <xf numFmtId="176" fontId="13" fillId="2" borderId="8" xfId="0" applyNumberFormat="1" applyFont="1" applyFill="1" applyBorder="1" applyAlignment="1">
      <alignment horizontal="center" vertical="center"/>
    </xf>
    <xf numFmtId="176" fontId="13" fillId="2" borderId="12" xfId="0" applyNumberFormat="1" applyFont="1" applyFill="1" applyBorder="1" applyAlignment="1">
      <alignment horizontal="center" vertical="center"/>
    </xf>
    <xf numFmtId="176" fontId="13" fillId="2" borderId="14" xfId="0" applyNumberFormat="1" applyFont="1" applyFill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8" fontId="29" fillId="2" borderId="46" xfId="0" applyNumberFormat="1" applyFont="1" applyFill="1" applyBorder="1" applyAlignment="1">
      <alignment horizontal="center" vertical="center"/>
    </xf>
    <xf numFmtId="178" fontId="29" fillId="2" borderId="47" xfId="0" applyNumberFormat="1" applyFont="1" applyFill="1" applyBorder="1" applyAlignment="1">
      <alignment horizontal="center" vertical="center"/>
    </xf>
    <xf numFmtId="178" fontId="29" fillId="2" borderId="50" xfId="0" applyNumberFormat="1" applyFont="1" applyFill="1" applyBorder="1" applyAlignment="1">
      <alignment horizontal="center" vertical="center"/>
    </xf>
    <xf numFmtId="178" fontId="29" fillId="2" borderId="48" xfId="0" applyNumberFormat="1" applyFont="1" applyFill="1" applyBorder="1" applyAlignment="1">
      <alignment horizontal="center" vertical="center"/>
    </xf>
    <xf numFmtId="41" fontId="31" fillId="2" borderId="48" xfId="0" applyNumberFormat="1" applyFont="1" applyFill="1" applyBorder="1" applyAlignment="1">
      <alignment horizontal="center" vertical="center"/>
    </xf>
    <xf numFmtId="41" fontId="31" fillId="2" borderId="7" xfId="0" applyNumberFormat="1" applyFont="1" applyFill="1" applyBorder="1" applyAlignment="1">
      <alignment horizontal="center" vertical="center"/>
    </xf>
    <xf numFmtId="41" fontId="31" fillId="2" borderId="51" xfId="0" applyNumberFormat="1" applyFont="1" applyFill="1" applyBorder="1" applyAlignment="1">
      <alignment horizontal="center" vertical="center"/>
    </xf>
    <xf numFmtId="177" fontId="6" fillId="0" borderId="52" xfId="0" applyNumberFormat="1" applyFont="1" applyBorder="1" applyAlignment="1">
      <alignment horizontal="center" vertical="center"/>
    </xf>
    <xf numFmtId="177" fontId="6" fillId="0" borderId="53" xfId="0" applyNumberFormat="1" applyFont="1" applyBorder="1" applyAlignment="1">
      <alignment horizontal="center" vertical="center"/>
    </xf>
    <xf numFmtId="177" fontId="6" fillId="0" borderId="54" xfId="0" applyNumberFormat="1" applyFont="1" applyBorder="1" applyAlignment="1">
      <alignment horizontal="center" vertical="center"/>
    </xf>
    <xf numFmtId="178" fontId="33" fillId="2" borderId="55" xfId="0" applyNumberFormat="1" applyFont="1" applyFill="1" applyBorder="1" applyAlignment="1">
      <alignment horizontal="center" vertical="center"/>
    </xf>
    <xf numFmtId="178" fontId="33" fillId="2" borderId="56" xfId="0" applyNumberFormat="1" applyFont="1" applyFill="1" applyBorder="1" applyAlignment="1">
      <alignment horizontal="center" vertical="center"/>
    </xf>
    <xf numFmtId="41" fontId="34" fillId="2" borderId="56" xfId="0" applyNumberFormat="1" applyFont="1" applyFill="1" applyBorder="1" applyAlignment="1">
      <alignment horizontal="center" vertical="center"/>
    </xf>
    <xf numFmtId="41" fontId="34" fillId="2" borderId="57" xfId="0" applyNumberFormat="1" applyFont="1" applyFill="1" applyBorder="1" applyAlignment="1">
      <alignment horizontal="center" vertical="center"/>
    </xf>
    <xf numFmtId="41" fontId="34" fillId="2" borderId="58" xfId="0" applyNumberFormat="1" applyFont="1" applyFill="1" applyBorder="1" applyAlignment="1">
      <alignment horizontal="center" vertical="center"/>
    </xf>
    <xf numFmtId="178" fontId="35" fillId="2" borderId="61" xfId="0" applyNumberFormat="1" applyFont="1" applyFill="1" applyBorder="1" applyAlignment="1">
      <alignment horizontal="center" vertical="center"/>
    </xf>
    <xf numFmtId="178" fontId="35" fillId="2" borderId="62" xfId="0" applyNumberFormat="1" applyFont="1" applyFill="1" applyBorder="1" applyAlignment="1">
      <alignment horizontal="center" vertical="center"/>
    </xf>
    <xf numFmtId="41" fontId="36" fillId="2" borderId="62" xfId="0" applyNumberFormat="1" applyFont="1" applyFill="1" applyBorder="1" applyAlignment="1">
      <alignment horizontal="center" vertical="center"/>
    </xf>
    <xf numFmtId="41" fontId="36" fillId="2" borderId="63" xfId="0" applyNumberFormat="1" applyFont="1" applyFill="1" applyBorder="1" applyAlignment="1">
      <alignment horizontal="center" vertical="center"/>
    </xf>
    <xf numFmtId="41" fontId="36" fillId="2" borderId="61" xfId="0" applyNumberFormat="1" applyFont="1" applyFill="1" applyBorder="1" applyAlignment="1">
      <alignment horizontal="center" vertical="center"/>
    </xf>
    <xf numFmtId="41" fontId="36" fillId="2" borderId="64" xfId="0" applyNumberFormat="1" applyFont="1" applyFill="1" applyBorder="1" applyAlignment="1">
      <alignment horizontal="center" vertical="center"/>
    </xf>
    <xf numFmtId="178" fontId="30" fillId="2" borderId="66" xfId="0" applyNumberFormat="1" applyFont="1" applyFill="1" applyBorder="1" applyAlignment="1">
      <alignment horizontal="center" vertical="center"/>
    </xf>
    <xf numFmtId="178" fontId="30" fillId="2" borderId="67" xfId="0" applyNumberFormat="1" applyFont="1" applyFill="1" applyBorder="1" applyAlignment="1">
      <alignment horizontal="center" vertical="center"/>
    </xf>
    <xf numFmtId="41" fontId="38" fillId="2" borderId="67" xfId="0" applyNumberFormat="1" applyFont="1" applyFill="1" applyBorder="1" applyAlignment="1">
      <alignment horizontal="center" vertical="center"/>
    </xf>
    <xf numFmtId="41" fontId="38" fillId="2" borderId="68" xfId="0" applyNumberFormat="1" applyFont="1" applyFill="1" applyBorder="1" applyAlignment="1">
      <alignment horizontal="center" vertical="center"/>
    </xf>
    <xf numFmtId="41" fontId="39" fillId="2" borderId="66" xfId="0" applyNumberFormat="1" applyFont="1" applyFill="1" applyBorder="1" applyAlignment="1">
      <alignment horizontal="center" vertical="center"/>
    </xf>
    <xf numFmtId="41" fontId="39" fillId="2" borderId="69" xfId="0" applyNumberFormat="1" applyFont="1" applyFill="1" applyBorder="1" applyAlignment="1">
      <alignment horizontal="center" vertical="center"/>
    </xf>
    <xf numFmtId="178" fontId="30" fillId="2" borderId="70" xfId="0" applyNumberFormat="1" applyFont="1" applyFill="1" applyBorder="1" applyAlignment="1">
      <alignment horizontal="center" vertical="center"/>
    </xf>
    <xf numFmtId="178" fontId="30" fillId="2" borderId="71" xfId="0" applyNumberFormat="1" applyFont="1" applyFill="1" applyBorder="1" applyAlignment="1">
      <alignment horizontal="center" vertical="center"/>
    </xf>
    <xf numFmtId="41" fontId="33" fillId="2" borderId="70" xfId="0" applyNumberFormat="1" applyFont="1" applyFill="1" applyBorder="1" applyAlignment="1">
      <alignment horizontal="center" vertical="center"/>
    </xf>
    <xf numFmtId="41" fontId="33" fillId="2" borderId="71" xfId="0" applyNumberFormat="1" applyFont="1" applyFill="1" applyBorder="1" applyAlignment="1">
      <alignment horizontal="center" vertical="center"/>
    </xf>
    <xf numFmtId="41" fontId="33" fillId="2" borderId="72" xfId="0" applyNumberFormat="1" applyFont="1" applyFill="1" applyBorder="1" applyAlignment="1">
      <alignment horizontal="center" vertical="center"/>
    </xf>
    <xf numFmtId="41" fontId="33" fillId="2" borderId="68" xfId="0" applyNumberFormat="1" applyFont="1" applyFill="1" applyBorder="1" applyAlignment="1">
      <alignment horizontal="center" vertical="center"/>
    </xf>
    <xf numFmtId="177" fontId="40" fillId="0" borderId="73" xfId="0" applyNumberFormat="1" applyFont="1" applyBorder="1" applyAlignment="1">
      <alignment horizontal="center" vertical="center"/>
    </xf>
    <xf numFmtId="177" fontId="40" fillId="0" borderId="74" xfId="0" applyNumberFormat="1" applyFont="1" applyBorder="1" applyAlignment="1">
      <alignment horizontal="center" vertical="center"/>
    </xf>
    <xf numFmtId="177" fontId="40" fillId="0" borderId="81" xfId="0" applyNumberFormat="1" applyFont="1" applyBorder="1" applyAlignment="1">
      <alignment horizontal="center" vertical="center"/>
    </xf>
    <xf numFmtId="177" fontId="40" fillId="0" borderId="82" xfId="0" applyNumberFormat="1" applyFont="1" applyBorder="1" applyAlignment="1">
      <alignment horizontal="center" vertical="center"/>
    </xf>
    <xf numFmtId="177" fontId="44" fillId="0" borderId="80" xfId="0" applyNumberFormat="1" applyFont="1" applyBorder="1" applyAlignment="1">
      <alignment horizontal="left" vertical="center"/>
    </xf>
    <xf numFmtId="177" fontId="45" fillId="0" borderId="83" xfId="0" applyNumberFormat="1" applyFont="1" applyBorder="1" applyAlignment="1">
      <alignment horizontal="left" vertical="center"/>
    </xf>
    <xf numFmtId="177" fontId="45" fillId="0" borderId="72" xfId="0" applyNumberFormat="1" applyFont="1" applyBorder="1" applyAlignment="1">
      <alignment horizontal="left" vertical="center"/>
    </xf>
    <xf numFmtId="177" fontId="42" fillId="0" borderId="68" xfId="0" applyNumberFormat="1" applyFont="1" applyBorder="1" applyAlignment="1">
      <alignment horizontal="left" vertical="center"/>
    </xf>
    <xf numFmtId="177" fontId="42" fillId="0" borderId="83" xfId="0" applyNumberFormat="1" applyFont="1" applyBorder="1" applyAlignment="1">
      <alignment horizontal="left" vertical="center"/>
    </xf>
    <xf numFmtId="177" fontId="42" fillId="0" borderId="84" xfId="0" applyNumberFormat="1" applyFont="1" applyBorder="1" applyAlignment="1">
      <alignment horizontal="left" vertical="center"/>
    </xf>
    <xf numFmtId="176" fontId="4" fillId="9" borderId="85" xfId="0" applyNumberFormat="1" applyFont="1" applyFill="1" applyBorder="1" applyAlignment="1">
      <alignment horizontal="center" vertical="center"/>
    </xf>
    <xf numFmtId="176" fontId="4" fillId="9" borderId="86" xfId="0" applyNumberFormat="1" applyFont="1" applyFill="1" applyBorder="1" applyAlignment="1">
      <alignment horizontal="center" vertical="center"/>
    </xf>
    <xf numFmtId="176" fontId="4" fillId="9" borderId="87" xfId="0" applyNumberFormat="1" applyFont="1" applyFill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176" fontId="1" fillId="0" borderId="23" xfId="0" applyNumberFormat="1" applyFont="1" applyBorder="1" applyAlignment="1">
      <alignment horizontal="center" vertical="center"/>
    </xf>
    <xf numFmtId="176" fontId="1" fillId="0" borderId="66" xfId="0" applyNumberFormat="1" applyFont="1" applyBorder="1" applyAlignment="1">
      <alignment horizontal="center" vertical="center"/>
    </xf>
    <xf numFmtId="176" fontId="1" fillId="0" borderId="67" xfId="0" applyNumberFormat="1" applyFont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6" fontId="1" fillId="0" borderId="69" xfId="0" applyNumberFormat="1" applyFont="1" applyBorder="1" applyAlignment="1">
      <alignment horizontal="center" vertical="center"/>
    </xf>
    <xf numFmtId="176" fontId="46" fillId="10" borderId="85" xfId="0" applyNumberFormat="1" applyFont="1" applyFill="1" applyBorder="1" applyAlignment="1">
      <alignment horizontal="center" vertical="center" wrapText="1"/>
    </xf>
    <xf numFmtId="176" fontId="46" fillId="10" borderId="86" xfId="0" applyNumberFormat="1" applyFont="1" applyFill="1" applyBorder="1" applyAlignment="1">
      <alignment horizontal="center" vertical="center" wrapText="1"/>
    </xf>
    <xf numFmtId="176" fontId="46" fillId="10" borderId="87" xfId="0" applyNumberFormat="1" applyFont="1" applyFill="1" applyBorder="1" applyAlignment="1">
      <alignment horizontal="center" vertical="center" wrapText="1"/>
    </xf>
    <xf numFmtId="176" fontId="46" fillId="10" borderId="22" xfId="0" applyNumberFormat="1" applyFont="1" applyFill="1" applyBorder="1" applyAlignment="1">
      <alignment horizontal="center" vertical="center" wrapText="1"/>
    </xf>
    <xf numFmtId="176" fontId="46" fillId="10" borderId="23" xfId="0" applyNumberFormat="1" applyFont="1" applyFill="1" applyBorder="1" applyAlignment="1">
      <alignment horizontal="center" vertical="center" wrapText="1"/>
    </xf>
    <xf numFmtId="176" fontId="46" fillId="10" borderId="24" xfId="0" applyNumberFormat="1" applyFont="1" applyFill="1" applyBorder="1" applyAlignment="1">
      <alignment horizontal="center" vertical="center" wrapText="1"/>
    </xf>
    <xf numFmtId="176" fontId="46" fillId="12" borderId="85" xfId="0" applyNumberFormat="1" applyFont="1" applyFill="1" applyBorder="1" applyAlignment="1">
      <alignment horizontal="center" vertical="center"/>
    </xf>
    <xf numFmtId="176" fontId="46" fillId="12" borderId="86" xfId="0" applyNumberFormat="1" applyFont="1" applyFill="1" applyBorder="1" applyAlignment="1">
      <alignment horizontal="center" vertical="center"/>
    </xf>
    <xf numFmtId="176" fontId="46" fillId="12" borderId="87" xfId="0" applyNumberFormat="1" applyFont="1" applyFill="1" applyBorder="1" applyAlignment="1">
      <alignment horizontal="center" vertical="center"/>
    </xf>
    <xf numFmtId="176" fontId="46" fillId="12" borderId="22" xfId="0" applyNumberFormat="1" applyFont="1" applyFill="1" applyBorder="1" applyAlignment="1">
      <alignment horizontal="center" vertical="center"/>
    </xf>
    <xf numFmtId="176" fontId="46" fillId="12" borderId="23" xfId="0" applyNumberFormat="1" applyFont="1" applyFill="1" applyBorder="1" applyAlignment="1">
      <alignment horizontal="center" vertical="center"/>
    </xf>
    <xf numFmtId="176" fontId="46" fillId="12" borderId="24" xfId="0" applyNumberFormat="1" applyFont="1" applyFill="1" applyBorder="1" applyAlignment="1">
      <alignment horizontal="center" vertical="center"/>
    </xf>
    <xf numFmtId="176" fontId="46" fillId="13" borderId="85" xfId="0" applyNumberFormat="1" applyFont="1" applyFill="1" applyBorder="1" applyAlignment="1">
      <alignment horizontal="center" vertical="center"/>
    </xf>
    <xf numFmtId="176" fontId="46" fillId="13" borderId="86" xfId="0" applyNumberFormat="1" applyFont="1" applyFill="1" applyBorder="1" applyAlignment="1">
      <alignment horizontal="center" vertical="center"/>
    </xf>
    <xf numFmtId="176" fontId="46" fillId="13" borderId="87" xfId="0" applyNumberFormat="1" applyFont="1" applyFill="1" applyBorder="1" applyAlignment="1">
      <alignment horizontal="center" vertical="center"/>
    </xf>
    <xf numFmtId="176" fontId="46" fillId="13" borderId="22" xfId="0" applyNumberFormat="1" applyFont="1" applyFill="1" applyBorder="1" applyAlignment="1">
      <alignment horizontal="center" vertical="center"/>
    </xf>
    <xf numFmtId="176" fontId="46" fillId="13" borderId="23" xfId="0" applyNumberFormat="1" applyFont="1" applyFill="1" applyBorder="1" applyAlignment="1">
      <alignment horizontal="center" vertical="center"/>
    </xf>
    <xf numFmtId="176" fontId="46" fillId="13" borderId="24" xfId="0" applyNumberFormat="1" applyFont="1" applyFill="1" applyBorder="1" applyAlignment="1">
      <alignment horizontal="center" vertical="center"/>
    </xf>
    <xf numFmtId="176" fontId="46" fillId="13" borderId="43" xfId="0" applyNumberFormat="1" applyFont="1" applyFill="1" applyBorder="1" applyAlignment="1">
      <alignment horizontal="center" vertical="center"/>
    </xf>
    <xf numFmtId="176" fontId="46" fillId="13" borderId="37" xfId="0" applyNumberFormat="1" applyFont="1" applyFill="1" applyBorder="1" applyAlignment="1">
      <alignment horizontal="center" vertical="center"/>
    </xf>
    <xf numFmtId="176" fontId="46" fillId="13" borderId="36" xfId="0" applyNumberFormat="1" applyFont="1" applyFill="1" applyBorder="1" applyAlignment="1">
      <alignment horizontal="center" vertical="center"/>
    </xf>
    <xf numFmtId="176" fontId="48" fillId="2" borderId="78" xfId="0" applyNumberFormat="1" applyFont="1" applyFill="1" applyBorder="1" applyAlignment="1">
      <alignment horizontal="right" vertical="center"/>
    </xf>
    <xf numFmtId="176" fontId="48" fillId="2" borderId="79" xfId="0" applyNumberFormat="1" applyFont="1" applyFill="1" applyBorder="1" applyAlignment="1">
      <alignment horizontal="right" vertical="center"/>
    </xf>
    <xf numFmtId="176" fontId="50" fillId="2" borderId="92" xfId="0" applyNumberFormat="1" applyFont="1" applyFill="1" applyBorder="1" applyAlignment="1">
      <alignment horizontal="center" vertical="center"/>
    </xf>
    <xf numFmtId="176" fontId="50" fillId="2" borderId="93" xfId="0" applyNumberFormat="1" applyFont="1" applyFill="1" applyBorder="1" applyAlignment="1">
      <alignment horizontal="center" vertical="center"/>
    </xf>
    <xf numFmtId="176" fontId="50" fillId="0" borderId="94" xfId="0" applyNumberFormat="1" applyFont="1" applyBorder="1" applyAlignment="1">
      <alignment horizontal="center" vertical="center"/>
    </xf>
    <xf numFmtId="176" fontId="50" fillId="0" borderId="92" xfId="0" applyNumberFormat="1" applyFont="1" applyBorder="1" applyAlignment="1">
      <alignment horizontal="center" vertical="center"/>
    </xf>
    <xf numFmtId="176" fontId="50" fillId="0" borderId="93" xfId="0" applyNumberFormat="1" applyFont="1" applyBorder="1" applyAlignment="1">
      <alignment horizontal="center" vertical="center"/>
    </xf>
    <xf numFmtId="176" fontId="47" fillId="2" borderId="22" xfId="0" applyNumberFormat="1" applyFont="1" applyFill="1" applyBorder="1" applyAlignment="1">
      <alignment horizontal="center" vertical="center" wrapText="1"/>
    </xf>
    <xf numFmtId="176" fontId="48" fillId="2" borderId="16" xfId="0" applyNumberFormat="1" applyFont="1" applyFill="1" applyBorder="1" applyAlignment="1">
      <alignment horizontal="center" vertical="center"/>
    </xf>
    <xf numFmtId="176" fontId="48" fillId="2" borderId="28" xfId="0" applyNumberFormat="1" applyFont="1" applyFill="1" applyBorder="1" applyAlignment="1">
      <alignment horizontal="center" vertical="center"/>
    </xf>
    <xf numFmtId="176" fontId="48" fillId="2" borderId="95" xfId="0" applyNumberFormat="1" applyFont="1" applyFill="1" applyBorder="1" applyAlignment="1">
      <alignment horizontal="right" vertical="center"/>
    </xf>
    <xf numFmtId="176" fontId="48" fillId="2" borderId="96" xfId="0" applyNumberFormat="1" applyFont="1" applyFill="1" applyBorder="1" applyAlignment="1">
      <alignment horizontal="right" vertical="center"/>
    </xf>
    <xf numFmtId="176" fontId="50" fillId="2" borderId="95" xfId="0" applyNumberFormat="1" applyFont="1" applyFill="1" applyBorder="1" applyAlignment="1">
      <alignment horizontal="center" vertical="center"/>
    </xf>
    <xf numFmtId="176" fontId="50" fillId="2" borderId="98" xfId="0" applyNumberFormat="1" applyFont="1" applyFill="1" applyBorder="1" applyAlignment="1">
      <alignment horizontal="center" vertical="center"/>
    </xf>
    <xf numFmtId="176" fontId="51" fillId="2" borderId="99" xfId="0" applyNumberFormat="1" applyFont="1" applyFill="1" applyBorder="1" applyAlignment="1">
      <alignment horizontal="center" vertical="center"/>
    </xf>
    <xf numFmtId="176" fontId="51" fillId="2" borderId="95" xfId="0" applyNumberFormat="1" applyFont="1" applyFill="1" applyBorder="1" applyAlignment="1">
      <alignment horizontal="center" vertical="center"/>
    </xf>
    <xf numFmtId="176" fontId="51" fillId="2" borderId="98" xfId="0" applyNumberFormat="1" applyFont="1" applyFill="1" applyBorder="1" applyAlignment="1">
      <alignment horizontal="center" vertical="center"/>
    </xf>
    <xf numFmtId="176" fontId="51" fillId="0" borderId="100" xfId="0" applyNumberFormat="1" applyFont="1" applyBorder="1" applyAlignment="1">
      <alignment horizontal="center" vertical="center"/>
    </xf>
    <xf numFmtId="176" fontId="51" fillId="0" borderId="101" xfId="0" applyNumberFormat="1" applyFont="1" applyBorder="1" applyAlignment="1">
      <alignment horizontal="center" vertical="center"/>
    </xf>
    <xf numFmtId="176" fontId="51" fillId="0" borderId="102" xfId="0" applyNumberFormat="1" applyFont="1" applyBorder="1" applyAlignment="1">
      <alignment horizontal="center" vertical="center"/>
    </xf>
    <xf numFmtId="176" fontId="48" fillId="2" borderId="23" xfId="0" applyNumberFormat="1" applyFont="1" applyFill="1" applyBorder="1" applyAlignment="1">
      <alignment horizontal="center" vertical="center"/>
    </xf>
    <xf numFmtId="176" fontId="48" fillId="2" borderId="30" xfId="0" applyNumberFormat="1" applyFont="1" applyFill="1" applyBorder="1" applyAlignment="1">
      <alignment horizontal="center" vertical="center"/>
    </xf>
    <xf numFmtId="176" fontId="48" fillId="2" borderId="103" xfId="0" applyNumberFormat="1" applyFont="1" applyFill="1" applyBorder="1" applyAlignment="1">
      <alignment horizontal="right" vertical="center"/>
    </xf>
    <xf numFmtId="176" fontId="48" fillId="2" borderId="104" xfId="0" applyNumberFormat="1" applyFont="1" applyFill="1" applyBorder="1" applyAlignment="1">
      <alignment horizontal="right" vertical="center"/>
    </xf>
    <xf numFmtId="176" fontId="50" fillId="2" borderId="103" xfId="0" applyNumberFormat="1" applyFont="1" applyFill="1" applyBorder="1" applyAlignment="1">
      <alignment horizontal="center" vertical="center"/>
    </xf>
    <xf numFmtId="176" fontId="50" fillId="2" borderId="106" xfId="0" applyNumberFormat="1" applyFont="1" applyFill="1" applyBorder="1" applyAlignment="1">
      <alignment horizontal="center" vertical="center"/>
    </xf>
    <xf numFmtId="176" fontId="51" fillId="0" borderId="99" xfId="0" applyNumberFormat="1" applyFont="1" applyBorder="1" applyAlignment="1">
      <alignment horizontal="center" vertical="center"/>
    </xf>
    <xf numFmtId="176" fontId="51" fillId="0" borderId="95" xfId="0" applyNumberFormat="1" applyFont="1" applyBorder="1" applyAlignment="1">
      <alignment horizontal="center" vertical="center"/>
    </xf>
    <xf numFmtId="176" fontId="51" fillId="0" borderId="98" xfId="0" applyNumberFormat="1" applyFont="1" applyBorder="1" applyAlignment="1">
      <alignment horizontal="center" vertical="center"/>
    </xf>
    <xf numFmtId="176" fontId="51" fillId="0" borderId="110" xfId="0" applyNumberFormat="1" applyFont="1" applyBorder="1" applyAlignment="1">
      <alignment horizontal="center" vertical="center"/>
    </xf>
    <xf numFmtId="176" fontId="51" fillId="0" borderId="103" xfId="0" applyNumberFormat="1" applyFont="1" applyBorder="1" applyAlignment="1">
      <alignment horizontal="center" vertical="center"/>
    </xf>
    <xf numFmtId="176" fontId="51" fillId="0" borderId="106" xfId="0" applyNumberFormat="1" applyFont="1" applyBorder="1" applyAlignment="1">
      <alignment horizontal="center" vertical="center"/>
    </xf>
    <xf numFmtId="176" fontId="53" fillId="0" borderId="103" xfId="0" applyNumberFormat="1" applyFont="1" applyBorder="1" applyAlignment="1">
      <alignment horizontal="center" vertical="center"/>
    </xf>
    <xf numFmtId="176" fontId="53" fillId="0" borderId="106" xfId="0" applyNumberFormat="1" applyFont="1" applyBorder="1" applyAlignment="1">
      <alignment horizontal="center" vertical="center"/>
    </xf>
    <xf numFmtId="176" fontId="50" fillId="2" borderId="110" xfId="0" applyNumberFormat="1" applyFont="1" applyFill="1" applyBorder="1" applyAlignment="1">
      <alignment horizontal="center" vertical="center"/>
    </xf>
    <xf numFmtId="176" fontId="50" fillId="0" borderId="110" xfId="0" applyNumberFormat="1" applyFont="1" applyBorder="1" applyAlignment="1">
      <alignment horizontal="center" vertical="center"/>
    </xf>
    <xf numFmtId="176" fontId="50" fillId="0" borderId="103" xfId="0" applyNumberFormat="1" applyFont="1" applyBorder="1" applyAlignment="1">
      <alignment horizontal="center" vertical="center"/>
    </xf>
    <xf numFmtId="176" fontId="50" fillId="0" borderId="106" xfId="0" applyNumberFormat="1" applyFont="1" applyBorder="1" applyAlignment="1">
      <alignment horizontal="center" vertical="center"/>
    </xf>
    <xf numFmtId="176" fontId="48" fillId="2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6" fontId="54" fillId="2" borderId="111" xfId="0" applyNumberFormat="1" applyFont="1" applyFill="1" applyBorder="1" applyAlignment="1">
      <alignment horizontal="right" vertical="center"/>
    </xf>
    <xf numFmtId="176" fontId="54" fillId="2" borderId="87" xfId="0" applyNumberFormat="1" applyFont="1" applyFill="1" applyBorder="1" applyAlignment="1">
      <alignment horizontal="right" vertical="center"/>
    </xf>
    <xf numFmtId="176" fontId="48" fillId="2" borderId="86" xfId="0" applyNumberFormat="1" applyFont="1" applyFill="1" applyBorder="1" applyAlignment="1">
      <alignment horizontal="center" vertical="center"/>
    </xf>
    <xf numFmtId="176" fontId="48" fillId="2" borderId="89" xfId="0" applyNumberFormat="1" applyFont="1" applyFill="1" applyBorder="1" applyAlignment="1">
      <alignment horizontal="center" vertical="center"/>
    </xf>
    <xf numFmtId="176" fontId="53" fillId="0" borderId="110" xfId="0" applyNumberFormat="1" applyFont="1" applyBorder="1" applyAlignment="1">
      <alignment horizontal="center" vertical="center"/>
    </xf>
    <xf numFmtId="176" fontId="53" fillId="0" borderId="112" xfId="0" applyNumberFormat="1" applyFont="1" applyBorder="1" applyAlignment="1">
      <alignment horizontal="center" vertical="center"/>
    </xf>
    <xf numFmtId="176" fontId="53" fillId="0" borderId="108" xfId="0" applyNumberFormat="1" applyFont="1" applyBorder="1" applyAlignment="1">
      <alignment horizontal="center" vertical="center"/>
    </xf>
    <xf numFmtId="176" fontId="53" fillId="0" borderId="113" xfId="0" applyNumberFormat="1" applyFont="1" applyBorder="1" applyAlignment="1">
      <alignment horizontal="center" vertical="center"/>
    </xf>
    <xf numFmtId="176" fontId="47" fillId="2" borderId="90" xfId="0" applyNumberFormat="1" applyFont="1" applyFill="1" applyBorder="1" applyAlignment="1">
      <alignment horizontal="center" vertical="center" wrapText="1"/>
    </xf>
    <xf numFmtId="176" fontId="47" fillId="2" borderId="7" xfId="0" applyNumberFormat="1" applyFont="1" applyFill="1" applyBorder="1" applyAlignment="1">
      <alignment horizontal="center" vertical="center" wrapText="1"/>
    </xf>
    <xf numFmtId="176" fontId="54" fillId="2" borderId="29" xfId="0" applyNumberFormat="1" applyFont="1" applyFill="1" applyBorder="1" applyAlignment="1">
      <alignment horizontal="right" vertical="center"/>
    </xf>
    <xf numFmtId="176" fontId="54" fillId="2" borderId="24" xfId="0" applyNumberFormat="1" applyFont="1" applyFill="1" applyBorder="1" applyAlignment="1">
      <alignment horizontal="right" vertical="center"/>
    </xf>
    <xf numFmtId="176" fontId="47" fillId="14" borderId="73" xfId="0" applyNumberFormat="1" applyFont="1" applyFill="1" applyBorder="1" applyAlignment="1">
      <alignment horizontal="center" vertical="center" wrapText="1"/>
    </xf>
    <xf numFmtId="176" fontId="47" fillId="14" borderId="75" xfId="0" applyNumberFormat="1" applyFont="1" applyFill="1" applyBorder="1" applyAlignment="1">
      <alignment horizontal="center" vertical="center" wrapText="1"/>
    </xf>
    <xf numFmtId="176" fontId="47" fillId="14" borderId="81" xfId="0" applyNumberFormat="1" applyFont="1" applyFill="1" applyBorder="1" applyAlignment="1">
      <alignment horizontal="center" vertical="center" wrapText="1"/>
    </xf>
    <xf numFmtId="176" fontId="47" fillId="14" borderId="114" xfId="0" applyNumberFormat="1" applyFont="1" applyFill="1" applyBorder="1" applyAlignment="1">
      <alignment horizontal="center" vertical="center" wrapText="1"/>
    </xf>
    <xf numFmtId="176" fontId="50" fillId="2" borderId="108" xfId="0" applyNumberFormat="1" applyFont="1" applyFill="1" applyBorder="1" applyAlignment="1">
      <alignment horizontal="center" vertical="center"/>
    </xf>
    <xf numFmtId="176" fontId="50" fillId="2" borderId="113" xfId="0" applyNumberFormat="1" applyFont="1" applyFill="1" applyBorder="1" applyAlignment="1">
      <alignment horizontal="center" vertical="center"/>
    </xf>
    <xf numFmtId="176" fontId="50" fillId="2" borderId="112" xfId="0" applyNumberFormat="1" applyFont="1" applyFill="1" applyBorder="1" applyAlignment="1">
      <alignment horizontal="center" vertical="center"/>
    </xf>
    <xf numFmtId="177" fontId="6" fillId="0" borderId="90" xfId="0" applyNumberFormat="1" applyFont="1" applyBorder="1" applyAlignment="1">
      <alignment horizontal="center" vertical="center"/>
    </xf>
    <xf numFmtId="177" fontId="6" fillId="0" borderId="118" xfId="0" applyNumberFormat="1" applyFont="1" applyBorder="1" applyAlignment="1">
      <alignment horizontal="center" vertical="center"/>
    </xf>
    <xf numFmtId="177" fontId="6" fillId="0" borderId="119" xfId="0" applyNumberFormat="1" applyFont="1" applyBorder="1" applyAlignment="1">
      <alignment horizontal="center" vertical="center"/>
    </xf>
    <xf numFmtId="177" fontId="6" fillId="0" borderId="73" xfId="0" applyNumberFormat="1" applyFont="1" applyBorder="1" applyAlignment="1">
      <alignment horizontal="center" vertical="center"/>
    </xf>
    <xf numFmtId="177" fontId="6" fillId="0" borderId="75" xfId="0" applyNumberFormat="1" applyFont="1" applyBorder="1" applyAlignment="1">
      <alignment horizontal="center" vertical="center"/>
    </xf>
    <xf numFmtId="177" fontId="6" fillId="0" borderId="74" xfId="0" applyNumberFormat="1" applyFont="1" applyBorder="1" applyAlignment="1">
      <alignment horizontal="center" vertical="center"/>
    </xf>
    <xf numFmtId="176" fontId="10" fillId="3" borderId="124" xfId="0" applyNumberFormat="1" applyFont="1" applyFill="1" applyBorder="1" applyAlignment="1">
      <alignment horizontal="center" vertical="center"/>
    </xf>
    <xf numFmtId="176" fontId="10" fillId="3" borderId="18" xfId="0" applyNumberFormat="1" applyFont="1" applyFill="1" applyBorder="1" applyAlignment="1">
      <alignment horizontal="center" vertical="center"/>
    </xf>
    <xf numFmtId="176" fontId="10" fillId="3" borderId="92" xfId="0" applyNumberFormat="1" applyFont="1" applyFill="1" applyBorder="1" applyAlignment="1">
      <alignment horizontal="center" vertical="center"/>
    </xf>
    <xf numFmtId="176" fontId="30" fillId="2" borderId="120" xfId="0" applyNumberFormat="1" applyFont="1" applyFill="1" applyBorder="1" applyAlignment="1">
      <alignment horizontal="center" vertical="center"/>
    </xf>
    <xf numFmtId="176" fontId="30" fillId="2" borderId="46" xfId="0" applyNumberFormat="1" applyFont="1" applyFill="1" applyBorder="1" applyAlignment="1">
      <alignment horizontal="center" vertical="center"/>
    </xf>
    <xf numFmtId="176" fontId="30" fillId="2" borderId="47" xfId="0" applyNumberFormat="1" applyFont="1" applyFill="1" applyBorder="1" applyAlignment="1">
      <alignment horizontal="center" vertical="center"/>
    </xf>
    <xf numFmtId="176" fontId="30" fillId="0" borderId="120" xfId="0" applyNumberFormat="1" applyFont="1" applyBorder="1" applyAlignment="1">
      <alignment horizontal="center" vertical="center"/>
    </xf>
    <xf numFmtId="178" fontId="37" fillId="2" borderId="125" xfId="0" applyNumberFormat="1" applyFont="1" applyFill="1" applyBorder="1" applyAlignment="1">
      <alignment horizontal="center" vertical="center"/>
    </xf>
    <xf numFmtId="178" fontId="37" fillId="2" borderId="39" xfId="0" applyNumberFormat="1" applyFont="1" applyFill="1" applyBorder="1" applyAlignment="1">
      <alignment horizontal="center" vertical="center"/>
    </xf>
    <xf numFmtId="176" fontId="37" fillId="2" borderId="125" xfId="0" applyNumberFormat="1" applyFont="1" applyFill="1" applyBorder="1" applyAlignment="1">
      <alignment horizontal="center" vertical="center"/>
    </xf>
    <xf numFmtId="176" fontId="37" fillId="2" borderId="101" xfId="0" applyNumberFormat="1" applyFont="1" applyFill="1" applyBorder="1" applyAlignment="1">
      <alignment horizontal="center" vertical="center"/>
    </xf>
    <xf numFmtId="176" fontId="63" fillId="2" borderId="126" xfId="0" applyNumberFormat="1" applyFont="1" applyFill="1" applyBorder="1" applyAlignment="1">
      <alignment horizontal="center" vertical="center" wrapText="1"/>
    </xf>
    <xf numFmtId="176" fontId="63" fillId="2" borderId="23" xfId="0" applyNumberFormat="1" applyFont="1" applyFill="1" applyBorder="1" applyAlignment="1">
      <alignment horizontal="center" vertical="center"/>
    </xf>
    <xf numFmtId="176" fontId="63" fillId="2" borderId="127" xfId="0" applyNumberFormat="1" applyFont="1" applyFill="1" applyBorder="1" applyAlignment="1">
      <alignment horizontal="center" vertical="center"/>
    </xf>
    <xf numFmtId="2" fontId="63" fillId="2" borderId="126" xfId="0" applyNumberFormat="1" applyFont="1" applyFill="1" applyBorder="1" applyAlignment="1">
      <alignment horizontal="center" vertical="center"/>
    </xf>
    <xf numFmtId="2" fontId="63" fillId="2" borderId="23" xfId="0" applyNumberFormat="1" applyFont="1" applyFill="1" applyBorder="1" applyAlignment="1">
      <alignment horizontal="center" vertical="center"/>
    </xf>
    <xf numFmtId="1" fontId="29" fillId="0" borderId="23" xfId="0" applyNumberFormat="1" applyFont="1" applyBorder="1" applyAlignment="1">
      <alignment horizontal="center" vertical="center"/>
    </xf>
    <xf numFmtId="1" fontId="29" fillId="0" borderId="30" xfId="0" applyNumberFormat="1" applyFont="1" applyBorder="1" applyAlignment="1">
      <alignment horizontal="center" vertical="center"/>
    </xf>
    <xf numFmtId="176" fontId="30" fillId="0" borderId="126" xfId="0" applyNumberFormat="1" applyFont="1" applyBorder="1" applyAlignment="1">
      <alignment horizontal="center" vertical="center"/>
    </xf>
    <xf numFmtId="176" fontId="30" fillId="2" borderId="95" xfId="0" applyNumberFormat="1" applyFont="1" applyFill="1" applyBorder="1" applyAlignment="1">
      <alignment horizontal="center" vertical="center"/>
    </xf>
    <xf numFmtId="176" fontId="30" fillId="2" borderId="98" xfId="0" applyNumberFormat="1" applyFont="1" applyFill="1" applyBorder="1" applyAlignment="1">
      <alignment horizontal="center" vertical="center"/>
    </xf>
    <xf numFmtId="176" fontId="30" fillId="0" borderId="99" xfId="0" applyNumberFormat="1" applyFont="1" applyBorder="1" applyAlignment="1">
      <alignment horizontal="center" vertical="center"/>
    </xf>
    <xf numFmtId="176" fontId="30" fillId="0" borderId="95" xfId="0" applyNumberFormat="1" applyFont="1" applyBorder="1" applyAlignment="1">
      <alignment horizontal="center" vertical="center"/>
    </xf>
    <xf numFmtId="178" fontId="37" fillId="2" borderId="127" xfId="0" applyNumberFormat="1" applyFont="1" applyFill="1" applyBorder="1" applyAlignment="1">
      <alignment horizontal="center" vertical="center"/>
    </xf>
    <xf numFmtId="178" fontId="37" fillId="2" borderId="29" xfId="0" applyNumberFormat="1" applyFont="1" applyFill="1" applyBorder="1" applyAlignment="1">
      <alignment horizontal="center" vertical="center"/>
    </xf>
    <xf numFmtId="176" fontId="37" fillId="2" borderId="127" xfId="0" applyNumberFormat="1" applyFont="1" applyFill="1" applyBorder="1" applyAlignment="1">
      <alignment horizontal="center" vertical="center"/>
    </xf>
    <xf numFmtId="176" fontId="37" fillId="2" borderId="103" xfId="0" applyNumberFormat="1" applyFont="1" applyFill="1" applyBorder="1" applyAlignment="1">
      <alignment horizontal="center" vertical="center"/>
    </xf>
    <xf numFmtId="176" fontId="63" fillId="2" borderId="23" xfId="0" applyNumberFormat="1" applyFont="1" applyFill="1" applyBorder="1" applyAlignment="1">
      <alignment horizontal="center" vertical="center" wrapText="1"/>
    </xf>
    <xf numFmtId="176" fontId="63" fillId="2" borderId="127" xfId="0" applyNumberFormat="1" applyFont="1" applyFill="1" applyBorder="1" applyAlignment="1">
      <alignment horizontal="center" vertical="center" wrapText="1"/>
    </xf>
    <xf numFmtId="176" fontId="15" fillId="0" borderId="127" xfId="0" applyNumberFormat="1" applyFont="1" applyBorder="1" applyAlignment="1">
      <alignment horizontal="center" vertical="center"/>
    </xf>
    <xf numFmtId="176" fontId="15" fillId="0" borderId="29" xfId="0" applyNumberFormat="1" applyFont="1" applyBorder="1" applyAlignment="1">
      <alignment horizontal="center" vertical="center"/>
    </xf>
    <xf numFmtId="176" fontId="37" fillId="2" borderId="129" xfId="0" applyNumberFormat="1" applyFont="1" applyFill="1" applyBorder="1" applyAlignment="1">
      <alignment horizontal="right" vertical="center"/>
    </xf>
    <xf numFmtId="176" fontId="37" fillId="2" borderId="108" xfId="0" applyNumberFormat="1" applyFont="1" applyFill="1" applyBorder="1" applyAlignment="1">
      <alignment horizontal="right" vertical="center"/>
    </xf>
    <xf numFmtId="176" fontId="37" fillId="2" borderId="127" xfId="0" applyNumberFormat="1" applyFont="1" applyFill="1" applyBorder="1" applyAlignment="1">
      <alignment horizontal="right" vertical="center"/>
    </xf>
    <xf numFmtId="176" fontId="37" fillId="2" borderId="103" xfId="0" applyNumberFormat="1" applyFont="1" applyFill="1" applyBorder="1" applyAlignment="1">
      <alignment horizontal="right" vertical="center"/>
    </xf>
    <xf numFmtId="176" fontId="63" fillId="2" borderId="126" xfId="0" applyNumberFormat="1" applyFont="1" applyFill="1" applyBorder="1" applyAlignment="1">
      <alignment horizontal="center" vertical="center"/>
    </xf>
    <xf numFmtId="176" fontId="30" fillId="2" borderId="33" xfId="0" applyNumberFormat="1" applyFont="1" applyFill="1" applyBorder="1" applyAlignment="1">
      <alignment horizontal="center" vertical="center"/>
    </xf>
    <xf numFmtId="176" fontId="30" fillId="2" borderId="34" xfId="0" applyNumberFormat="1" applyFont="1" applyFill="1" applyBorder="1" applyAlignment="1">
      <alignment horizontal="center" vertical="center"/>
    </xf>
    <xf numFmtId="176" fontId="30" fillId="2" borderId="131" xfId="0" applyNumberFormat="1" applyFont="1" applyFill="1" applyBorder="1" applyAlignment="1">
      <alignment horizontal="center" vertical="center"/>
    </xf>
    <xf numFmtId="2" fontId="63" fillId="2" borderId="33" xfId="0" applyNumberFormat="1" applyFont="1" applyFill="1" applyBorder="1" applyAlignment="1">
      <alignment horizontal="center" vertical="center"/>
    </xf>
    <xf numFmtId="2" fontId="63" fillId="2" borderId="34" xfId="0" applyNumberFormat="1" applyFont="1" applyFill="1" applyBorder="1" applyAlignment="1">
      <alignment horizontal="center" vertical="center"/>
    </xf>
    <xf numFmtId="1" fontId="29" fillId="0" borderId="34" xfId="0" applyNumberFormat="1" applyFont="1" applyBorder="1" applyAlignment="1">
      <alignment horizontal="center" vertical="center"/>
    </xf>
    <xf numFmtId="1" fontId="29" fillId="0" borderId="32" xfId="0" applyNumberFormat="1" applyFont="1" applyBorder="1" applyAlignment="1">
      <alignment horizontal="center" vertical="center"/>
    </xf>
    <xf numFmtId="176" fontId="25" fillId="6" borderId="107" xfId="0" applyNumberFormat="1" applyFont="1" applyFill="1" applyBorder="1" applyAlignment="1">
      <alignment horizontal="center" vertical="center"/>
    </xf>
    <xf numFmtId="176" fontId="25" fillId="6" borderId="132" xfId="0" applyNumberFormat="1" applyFont="1" applyFill="1" applyBorder="1" applyAlignment="1">
      <alignment horizontal="center" vertical="center"/>
    </xf>
    <xf numFmtId="176" fontId="30" fillId="7" borderId="26" xfId="0" applyNumberFormat="1" applyFont="1" applyFill="1" applyBorder="1" applyAlignment="1">
      <alignment horizontal="center" vertical="center"/>
    </xf>
    <xf numFmtId="176" fontId="30" fillId="7" borderId="94" xfId="0" applyNumberFormat="1" applyFont="1" applyFill="1" applyBorder="1" applyAlignment="1">
      <alignment horizontal="center" vertical="center"/>
    </xf>
    <xf numFmtId="176" fontId="30" fillId="7" borderId="92" xfId="0" applyNumberFormat="1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176" fontId="30" fillId="2" borderId="20" xfId="0" applyNumberFormat="1" applyFont="1" applyFill="1" applyBorder="1" applyAlignment="1">
      <alignment horizontal="center" vertical="center"/>
    </xf>
    <xf numFmtId="176" fontId="17" fillId="2" borderId="21" xfId="0" applyNumberFormat="1" applyFont="1" applyFill="1" applyBorder="1" applyAlignment="1">
      <alignment horizontal="center" vertical="center"/>
    </xf>
    <xf numFmtId="176" fontId="30" fillId="2" borderId="124" xfId="0" applyNumberFormat="1" applyFont="1" applyFill="1" applyBorder="1" applyAlignment="1">
      <alignment horizontal="center" vertical="center"/>
    </xf>
    <xf numFmtId="177" fontId="17" fillId="7" borderId="25" xfId="0" applyNumberFormat="1" applyFont="1" applyFill="1" applyBorder="1" applyAlignment="1">
      <alignment horizontal="center" vertical="center"/>
    </xf>
    <xf numFmtId="177" fontId="17" fillId="7" borderId="16" xfId="0" applyNumberFormat="1" applyFont="1" applyFill="1" applyBorder="1" applyAlignment="1">
      <alignment horizontal="center" vertical="center"/>
    </xf>
    <xf numFmtId="177" fontId="17" fillId="7" borderId="23" xfId="0" applyNumberFormat="1" applyFont="1" applyFill="1" applyBorder="1" applyAlignment="1">
      <alignment horizontal="center" vertical="center"/>
    </xf>
    <xf numFmtId="177" fontId="17" fillId="7" borderId="37" xfId="0" applyNumberFormat="1" applyFont="1" applyFill="1" applyBorder="1" applyAlignment="1">
      <alignment horizontal="center" vertical="center"/>
    </xf>
    <xf numFmtId="177" fontId="17" fillId="7" borderId="15" xfId="0" applyNumberFormat="1" applyFont="1" applyFill="1" applyBorder="1" applyAlignment="1">
      <alignment horizontal="center" vertical="center"/>
    </xf>
    <xf numFmtId="177" fontId="17" fillId="7" borderId="42" xfId="0" applyNumberFormat="1" applyFont="1" applyFill="1" applyBorder="1" applyAlignment="1">
      <alignment horizontal="center" vertical="center"/>
    </xf>
    <xf numFmtId="177" fontId="30" fillId="7" borderId="18" xfId="0" applyNumberFormat="1" applyFont="1" applyFill="1" applyBorder="1" applyAlignment="1">
      <alignment horizontal="center" vertical="center"/>
    </xf>
    <xf numFmtId="41" fontId="25" fillId="6" borderId="45" xfId="1" applyNumberFormat="1" applyFont="1" applyFill="1" applyBorder="1" applyAlignment="1">
      <alignment horizontal="center" vertical="center"/>
    </xf>
    <xf numFmtId="41" fontId="49" fillId="2" borderId="27" xfId="1" applyNumberFormat="1" applyFont="1" applyFill="1" applyBorder="1" applyAlignment="1">
      <alignment horizontal="right" vertical="center"/>
    </xf>
    <xf numFmtId="41" fontId="49" fillId="2" borderId="17" xfId="1" applyNumberFormat="1" applyFont="1" applyFill="1" applyBorder="1" applyAlignment="1">
      <alignment horizontal="right" vertical="center"/>
    </xf>
    <xf numFmtId="41" fontId="56" fillId="2" borderId="114" xfId="1" applyNumberFormat="1" applyFont="1" applyFill="1" applyBorder="1" applyAlignment="1">
      <alignment horizontal="right" vertical="center"/>
    </xf>
    <xf numFmtId="41" fontId="56" fillId="2" borderId="82" xfId="1" applyNumberFormat="1" applyFont="1" applyFill="1" applyBorder="1" applyAlignment="1">
      <alignment horizontal="right" vertical="center"/>
    </xf>
    <xf numFmtId="41" fontId="58" fillId="2" borderId="75" xfId="1" applyNumberFormat="1" applyFont="1" applyFill="1" applyBorder="1" applyAlignment="1">
      <alignment horizontal="right" vertical="center"/>
    </xf>
    <xf numFmtId="41" fontId="58" fillId="2" borderId="114" xfId="1" applyNumberFormat="1" applyFont="1" applyFill="1" applyBorder="1" applyAlignment="1">
      <alignment horizontal="right" vertical="center"/>
    </xf>
    <xf numFmtId="41" fontId="48" fillId="2" borderId="114" xfId="1" applyNumberFormat="1" applyFont="1" applyFill="1" applyBorder="1" applyAlignment="1">
      <alignment horizontal="right" vertical="center"/>
    </xf>
    <xf numFmtId="41" fontId="48" fillId="2" borderId="82" xfId="1" applyNumberFormat="1" applyFont="1" applyFill="1" applyBorder="1" applyAlignment="1">
      <alignment horizontal="right" vertical="center"/>
    </xf>
    <xf numFmtId="41" fontId="48" fillId="2" borderId="75" xfId="1" applyNumberFormat="1" applyFont="1" applyFill="1" applyBorder="1" applyAlignment="1">
      <alignment horizontal="right" vertical="center" wrapText="1"/>
    </xf>
    <xf numFmtId="41" fontId="48" fillId="2" borderId="74" xfId="1" applyNumberFormat="1" applyFont="1" applyFill="1" applyBorder="1" applyAlignment="1">
      <alignment horizontal="right" vertical="center" wrapText="1"/>
    </xf>
    <xf numFmtId="41" fontId="48" fillId="2" borderId="114" xfId="1" applyNumberFormat="1" applyFont="1" applyFill="1" applyBorder="1" applyAlignment="1">
      <alignment horizontal="right" vertical="center" wrapText="1"/>
    </xf>
    <xf numFmtId="41" fontId="48" fillId="2" borderId="82" xfId="1" applyNumberFormat="1" applyFont="1" applyFill="1" applyBorder="1" applyAlignment="1">
      <alignment horizontal="right" vertical="center" wrapText="1"/>
    </xf>
    <xf numFmtId="176" fontId="15" fillId="0" borderId="137" xfId="0" applyNumberFormat="1" applyFont="1" applyBorder="1" applyAlignment="1">
      <alignment horizontal="center" vertical="center"/>
    </xf>
    <xf numFmtId="176" fontId="15" fillId="0" borderId="131" xfId="0" applyNumberFormat="1" applyFont="1" applyBorder="1" applyAlignment="1">
      <alignment horizontal="center" vertical="center"/>
    </xf>
    <xf numFmtId="176" fontId="37" fillId="2" borderId="131" xfId="0" applyNumberFormat="1" applyFont="1" applyFill="1" applyBorder="1" applyAlignment="1">
      <alignment horizontal="right" vertical="center"/>
    </xf>
    <xf numFmtId="176" fontId="37" fillId="2" borderId="137" xfId="0" applyNumberFormat="1" applyFont="1" applyFill="1" applyBorder="1" applyAlignment="1">
      <alignment horizontal="right" vertical="center"/>
    </xf>
    <xf numFmtId="176" fontId="33" fillId="0" borderId="122" xfId="0" applyNumberFormat="1" applyFont="1" applyBorder="1" applyAlignment="1">
      <alignment horizontal="center" vertical="center"/>
    </xf>
    <xf numFmtId="176" fontId="33" fillId="0" borderId="123" xfId="0" applyNumberFormat="1" applyFont="1" applyBorder="1" applyAlignment="1">
      <alignment horizontal="center" vertical="center"/>
    </xf>
    <xf numFmtId="41" fontId="60" fillId="0" borderId="121" xfId="1" applyNumberFormat="1" applyFont="1" applyBorder="1" applyAlignment="1">
      <alignment horizontal="center" vertical="center"/>
    </xf>
    <xf numFmtId="41" fontId="60" fillId="0" borderId="122" xfId="1" applyNumberFormat="1" applyFont="1" applyBorder="1" applyAlignment="1">
      <alignment horizontal="center" vertical="center"/>
    </xf>
    <xf numFmtId="176" fontId="30" fillId="2" borderId="138" xfId="0" applyNumberFormat="1" applyFont="1" applyFill="1" applyBorder="1" applyAlignment="1">
      <alignment horizontal="center" vertical="center"/>
    </xf>
    <xf numFmtId="176" fontId="50" fillId="2" borderId="139" xfId="0" applyNumberFormat="1" applyFont="1" applyFill="1" applyBorder="1" applyAlignment="1">
      <alignment horizontal="center" vertical="center"/>
    </xf>
    <xf numFmtId="176" fontId="50" fillId="2" borderId="140" xfId="0" applyNumberFormat="1" applyFont="1" applyFill="1" applyBorder="1" applyAlignment="1">
      <alignment horizontal="center" vertical="center"/>
    </xf>
    <xf numFmtId="176" fontId="50" fillId="0" borderId="140" xfId="0" applyNumberFormat="1" applyFont="1" applyBorder="1" applyAlignment="1">
      <alignment horizontal="center" vertical="center"/>
    </xf>
    <xf numFmtId="176" fontId="50" fillId="0" borderId="141" xfId="0" applyNumberFormat="1" applyFont="1" applyBorder="1" applyAlignment="1">
      <alignment horizontal="center" vertical="center"/>
    </xf>
    <xf numFmtId="176" fontId="33" fillId="0" borderId="142" xfId="0" applyNumberFormat="1" applyFont="1" applyBorder="1" applyAlignment="1">
      <alignment horizontal="center" vertical="center"/>
    </xf>
    <xf numFmtId="0" fontId="52" fillId="0" borderId="144" xfId="0" applyFont="1" applyBorder="1" applyAlignment="1">
      <alignment horizontal="center" vertical="center"/>
    </xf>
    <xf numFmtId="176" fontId="53" fillId="0" borderId="104" xfId="0" applyNumberFormat="1" applyFont="1" applyBorder="1" applyAlignment="1">
      <alignment horizontal="center" vertical="center"/>
    </xf>
    <xf numFmtId="176" fontId="53" fillId="0" borderId="104" xfId="0" applyNumberFormat="1" applyFont="1" applyBorder="1" applyAlignment="1">
      <alignment horizontal="center" vertical="center"/>
    </xf>
    <xf numFmtId="176" fontId="53" fillId="0" borderId="109" xfId="0" applyNumberFormat="1" applyFont="1" applyBorder="1" applyAlignment="1">
      <alignment horizontal="center" vertical="center"/>
    </xf>
    <xf numFmtId="41" fontId="60" fillId="0" borderId="145" xfId="1" applyNumberFormat="1" applyFont="1" applyBorder="1" applyAlignment="1">
      <alignment horizontal="center" vertical="center"/>
    </xf>
    <xf numFmtId="176" fontId="50" fillId="0" borderId="134" xfId="0" applyNumberFormat="1" applyFont="1" applyBorder="1" applyAlignment="1">
      <alignment horizontal="center" vertical="center"/>
    </xf>
    <xf numFmtId="176" fontId="50" fillId="0" borderId="53" xfId="0" applyNumberFormat="1" applyFont="1" applyBorder="1" applyAlignment="1">
      <alignment horizontal="center" vertical="center"/>
    </xf>
    <xf numFmtId="176" fontId="50" fillId="0" borderId="135" xfId="0" applyNumberFormat="1" applyFont="1" applyBorder="1" applyAlignment="1">
      <alignment horizontal="center" vertical="center"/>
    </xf>
    <xf numFmtId="176" fontId="50" fillId="0" borderId="54" xfId="0" applyNumberFormat="1" applyFont="1" applyBorder="1" applyAlignment="1">
      <alignment horizontal="center" vertical="center"/>
    </xf>
    <xf numFmtId="176" fontId="48" fillId="2" borderId="81" xfId="0" applyNumberFormat="1" applyFont="1" applyFill="1" applyBorder="1" applyAlignment="1">
      <alignment horizontal="center" vertical="center" wrapText="1"/>
    </xf>
    <xf numFmtId="176" fontId="48" fillId="2" borderId="114" xfId="0" applyNumberFormat="1" applyFont="1" applyFill="1" applyBorder="1" applyAlignment="1">
      <alignment horizontal="center" vertical="center" wrapText="1"/>
    </xf>
    <xf numFmtId="176" fontId="48" fillId="2" borderId="115" xfId="0" applyNumberFormat="1" applyFont="1" applyFill="1" applyBorder="1" applyAlignment="1">
      <alignment horizontal="center" vertical="center" wrapText="1"/>
    </xf>
    <xf numFmtId="41" fontId="48" fillId="0" borderId="146" xfId="1" applyNumberFormat="1" applyFont="1" applyBorder="1" applyAlignment="1">
      <alignment horizontal="right" vertical="center"/>
    </xf>
    <xf numFmtId="41" fontId="48" fillId="0" borderId="114" xfId="1" applyNumberFormat="1" applyFont="1" applyBorder="1" applyAlignment="1">
      <alignment horizontal="right" vertical="center"/>
    </xf>
    <xf numFmtId="41" fontId="48" fillId="0" borderId="82" xfId="1" applyNumberFormat="1" applyFont="1" applyBorder="1" applyAlignment="1">
      <alignment horizontal="right" vertical="center"/>
    </xf>
    <xf numFmtId="176" fontId="48" fillId="2" borderId="34" xfId="0" applyNumberFormat="1" applyFont="1" applyFill="1" applyBorder="1" applyAlignment="1">
      <alignment horizontal="center" vertical="center"/>
    </xf>
    <xf numFmtId="176" fontId="48" fillId="2" borderId="32" xfId="0" applyNumberFormat="1" applyFont="1" applyFill="1" applyBorder="1" applyAlignment="1">
      <alignment horizontal="center" vertical="center"/>
    </xf>
    <xf numFmtId="176" fontId="48" fillId="2" borderId="137" xfId="0" applyNumberFormat="1" applyFont="1" applyFill="1" applyBorder="1" applyAlignment="1">
      <alignment horizontal="right" vertical="center"/>
    </xf>
    <xf numFmtId="176" fontId="48" fillId="2" borderId="148" xfId="0" applyNumberFormat="1" applyFont="1" applyFill="1" applyBorder="1" applyAlignment="1">
      <alignment horizontal="right" vertical="center"/>
    </xf>
    <xf numFmtId="176" fontId="48" fillId="2" borderId="16" xfId="0" applyNumberFormat="1" applyFont="1" applyFill="1" applyBorder="1" applyAlignment="1">
      <alignment horizontal="center" vertical="center" wrapText="1"/>
    </xf>
    <xf numFmtId="176" fontId="48" fillId="2" borderId="28" xfId="0" applyNumberFormat="1" applyFont="1" applyFill="1" applyBorder="1" applyAlignment="1">
      <alignment horizontal="center" vertical="center" wrapText="1"/>
    </xf>
    <xf numFmtId="176" fontId="48" fillId="2" borderId="99" xfId="0" applyNumberFormat="1" applyFont="1" applyFill="1" applyBorder="1" applyAlignment="1">
      <alignment horizontal="right" vertical="center"/>
    </xf>
    <xf numFmtId="176" fontId="46" fillId="12" borderId="42" xfId="0" applyNumberFormat="1" applyFont="1" applyFill="1" applyBorder="1" applyAlignment="1">
      <alignment horizontal="center" vertical="center"/>
    </xf>
    <xf numFmtId="176" fontId="46" fillId="12" borderId="34" xfId="0" applyNumberFormat="1" applyFont="1" applyFill="1" applyBorder="1" applyAlignment="1">
      <alignment horizontal="center" vertical="center"/>
    </xf>
    <xf numFmtId="176" fontId="46" fillId="12" borderId="38" xfId="0" applyNumberFormat="1" applyFont="1" applyFill="1" applyBorder="1" applyAlignment="1">
      <alignment horizontal="center" vertical="center"/>
    </xf>
    <xf numFmtId="176" fontId="46" fillId="10" borderId="42" xfId="0" applyNumberFormat="1" applyFont="1" applyFill="1" applyBorder="1" applyAlignment="1">
      <alignment horizontal="center" vertical="center" wrapText="1"/>
    </xf>
    <xf numFmtId="176" fontId="46" fillId="10" borderId="34" xfId="0" applyNumberFormat="1" applyFont="1" applyFill="1" applyBorder="1" applyAlignment="1">
      <alignment horizontal="center" vertical="center" wrapText="1"/>
    </xf>
    <xf numFmtId="176" fontId="46" fillId="10" borderId="38" xfId="0" applyNumberFormat="1" applyFont="1" applyFill="1" applyBorder="1" applyAlignment="1">
      <alignment horizontal="center" vertical="center" wrapText="1"/>
    </xf>
    <xf numFmtId="176" fontId="47" fillId="2" borderId="15" xfId="0" applyNumberFormat="1" applyFont="1" applyFill="1" applyBorder="1" applyAlignment="1">
      <alignment horizontal="center" vertical="center" wrapText="1"/>
    </xf>
    <xf numFmtId="176" fontId="48" fillId="2" borderId="40" xfId="0" applyNumberFormat="1" applyFont="1" applyFill="1" applyBorder="1" applyAlignment="1">
      <alignment horizontal="center" vertical="center"/>
    </xf>
    <xf numFmtId="41" fontId="49" fillId="2" borderId="39" xfId="1" applyNumberFormat="1" applyFont="1" applyFill="1" applyBorder="1" applyAlignment="1">
      <alignment horizontal="right" vertical="center"/>
    </xf>
    <xf numFmtId="41" fontId="49" fillId="2" borderId="41" xfId="1" applyNumberFormat="1" applyFont="1" applyFill="1" applyBorder="1" applyAlignment="1">
      <alignment horizontal="right" vertical="center"/>
    </xf>
    <xf numFmtId="176" fontId="47" fillId="2" borderId="42" xfId="0" applyNumberFormat="1" applyFont="1" applyFill="1" applyBorder="1" applyAlignment="1">
      <alignment horizontal="center" vertical="center" wrapText="1"/>
    </xf>
    <xf numFmtId="176" fontId="48" fillId="2" borderId="32" xfId="0" applyNumberFormat="1" applyFont="1" applyFill="1" applyBorder="1" applyAlignment="1">
      <alignment horizontal="center" vertical="center"/>
    </xf>
    <xf numFmtId="41" fontId="49" fillId="2" borderId="136" xfId="1" applyNumberFormat="1" applyFont="1" applyFill="1" applyBorder="1" applyAlignment="1">
      <alignment horizontal="right" vertical="center"/>
    </xf>
    <xf numFmtId="41" fontId="49" fillId="2" borderId="38" xfId="1" applyNumberFormat="1" applyFont="1" applyFill="1" applyBorder="1" applyAlignment="1">
      <alignment horizontal="right" vertical="center"/>
    </xf>
    <xf numFmtId="176" fontId="25" fillId="8" borderId="132" xfId="0" applyNumberFormat="1" applyFont="1" applyFill="1" applyBorder="1" applyAlignment="1">
      <alignment vertical="center"/>
    </xf>
    <xf numFmtId="41" fontId="43" fillId="8" borderId="133" xfId="0" applyNumberFormat="1" applyFont="1" applyFill="1" applyBorder="1" applyAlignment="1">
      <alignment vertical="center"/>
    </xf>
    <xf numFmtId="176" fontId="15" fillId="0" borderId="42" xfId="0" applyNumberFormat="1" applyFont="1" applyBorder="1" applyAlignment="1">
      <alignment horizontal="center" vertical="center"/>
    </xf>
    <xf numFmtId="176" fontId="15" fillId="0" borderId="34" xfId="0" applyNumberFormat="1" applyFont="1" applyBorder="1" applyAlignment="1">
      <alignment horizontal="right" vertical="center"/>
    </xf>
    <xf numFmtId="176" fontId="15" fillId="0" borderId="34" xfId="0" applyNumberFormat="1" applyFont="1" applyBorder="1" applyAlignment="1">
      <alignment horizontal="center" vertical="center"/>
    </xf>
    <xf numFmtId="178" fontId="37" fillId="2" borderId="38" xfId="0" applyNumberFormat="1" applyFont="1" applyFill="1" applyBorder="1" applyAlignment="1">
      <alignment vertical="center"/>
    </xf>
    <xf numFmtId="176" fontId="10" fillId="3" borderId="25" xfId="0" applyNumberFormat="1" applyFont="1" applyFill="1" applyBorder="1" applyAlignment="1">
      <alignment horizontal="center" vertical="center"/>
    </xf>
    <xf numFmtId="176" fontId="15" fillId="0" borderId="88" xfId="0" applyNumberFormat="1" applyFont="1" applyBorder="1" applyAlignment="1">
      <alignment horizontal="center" vertical="center"/>
    </xf>
    <xf numFmtId="176" fontId="37" fillId="2" borderId="0" xfId="0" applyNumberFormat="1" applyFont="1" applyFill="1" applyBorder="1" applyAlignment="1">
      <alignment horizontal="right" vertical="center"/>
    </xf>
    <xf numFmtId="176" fontId="10" fillId="3" borderId="143" xfId="0" applyNumberFormat="1" applyFont="1" applyFill="1" applyBorder="1" applyAlignment="1">
      <alignment horizontal="center" vertical="center"/>
    </xf>
    <xf numFmtId="176" fontId="37" fillId="2" borderId="144" xfId="0" applyNumberFormat="1" applyFont="1" applyFill="1" applyBorder="1" applyAlignment="1">
      <alignment horizontal="center" vertical="center"/>
    </xf>
    <xf numFmtId="176" fontId="37" fillId="2" borderId="104" xfId="0" applyNumberFormat="1" applyFont="1" applyFill="1" applyBorder="1" applyAlignment="1">
      <alignment horizontal="center" vertical="center"/>
    </xf>
    <xf numFmtId="176" fontId="37" fillId="2" borderId="109" xfId="0" applyNumberFormat="1" applyFont="1" applyFill="1" applyBorder="1" applyAlignment="1">
      <alignment horizontal="right" vertical="center"/>
    </xf>
    <xf numFmtId="176" fontId="37" fillId="2" borderId="104" xfId="0" applyNumberFormat="1" applyFont="1" applyFill="1" applyBorder="1" applyAlignment="1">
      <alignment horizontal="right" vertical="center"/>
    </xf>
    <xf numFmtId="176" fontId="37" fillId="2" borderId="10" xfId="0" applyNumberFormat="1" applyFont="1" applyFill="1" applyBorder="1" applyAlignment="1">
      <alignment horizontal="right" vertical="center"/>
    </xf>
    <xf numFmtId="176" fontId="37" fillId="2" borderId="148" xfId="0" applyNumberFormat="1" applyFont="1" applyFill="1" applyBorder="1" applyAlignment="1">
      <alignment horizontal="right" vertical="center"/>
    </xf>
    <xf numFmtId="176" fontId="25" fillId="7" borderId="81" xfId="0" applyNumberFormat="1" applyFont="1" applyFill="1" applyBorder="1" applyAlignment="1">
      <alignment horizontal="center" vertical="center"/>
    </xf>
    <xf numFmtId="176" fontId="25" fillId="7" borderId="114" xfId="0" applyNumberFormat="1" applyFont="1" applyFill="1" applyBorder="1" applyAlignment="1">
      <alignment horizontal="center" vertical="center"/>
    </xf>
    <xf numFmtId="41" fontId="64" fillId="7" borderId="150" xfId="0" applyNumberFormat="1" applyFont="1" applyFill="1" applyBorder="1" applyAlignment="1">
      <alignment horizontal="center" vertical="center"/>
    </xf>
    <xf numFmtId="41" fontId="64" fillId="7" borderId="149" xfId="0" applyNumberFormat="1" applyFont="1" applyFill="1" applyBorder="1" applyAlignment="1">
      <alignment horizontal="center" vertical="center"/>
    </xf>
    <xf numFmtId="41" fontId="43" fillId="7" borderId="150" xfId="0" applyNumberFormat="1" applyFont="1" applyFill="1" applyBorder="1" applyAlignment="1">
      <alignment horizontal="right" vertical="center"/>
    </xf>
    <xf numFmtId="41" fontId="43" fillId="7" borderId="114" xfId="0" applyNumberFormat="1" applyFont="1" applyFill="1" applyBorder="1" applyAlignment="1">
      <alignment horizontal="right" vertical="center"/>
    </xf>
    <xf numFmtId="41" fontId="43" fillId="7" borderId="82" xfId="0" applyNumberFormat="1" applyFont="1" applyFill="1" applyBorder="1" applyAlignment="1">
      <alignment horizontal="right" vertical="center"/>
    </xf>
    <xf numFmtId="176" fontId="62" fillId="16" borderId="73" xfId="0" applyNumberFormat="1" applyFont="1" applyFill="1" applyBorder="1" applyAlignment="1">
      <alignment horizontal="center" vertical="center"/>
    </xf>
    <xf numFmtId="176" fontId="62" fillId="16" borderId="75" xfId="0" applyNumberFormat="1" applyFont="1" applyFill="1" applyBorder="1" applyAlignment="1">
      <alignment horizontal="center" vertical="center"/>
    </xf>
    <xf numFmtId="176" fontId="62" fillId="16" borderId="74" xfId="0" applyNumberFormat="1" applyFont="1" applyFill="1" applyBorder="1" applyAlignment="1">
      <alignment horizontal="center" vertical="center"/>
    </xf>
    <xf numFmtId="176" fontId="30" fillId="2" borderId="151" xfId="0" applyNumberFormat="1" applyFont="1" applyFill="1" applyBorder="1" applyAlignment="1">
      <alignment horizontal="center" vertical="center"/>
    </xf>
    <xf numFmtId="176" fontId="30" fillId="0" borderId="152" xfId="0" applyNumberFormat="1" applyFont="1" applyBorder="1" applyAlignment="1">
      <alignment horizontal="center" vertical="center"/>
    </xf>
    <xf numFmtId="176" fontId="30" fillId="2" borderId="140" xfId="0" applyNumberFormat="1" applyFont="1" applyFill="1" applyBorder="1" applyAlignment="1">
      <alignment horizontal="center" vertical="center"/>
    </xf>
    <xf numFmtId="176" fontId="30" fillId="0" borderId="24" xfId="0" applyNumberFormat="1" applyFont="1" applyBorder="1" applyAlignment="1">
      <alignment horizontal="center" vertical="center"/>
    </xf>
    <xf numFmtId="176" fontId="30" fillId="2" borderId="153" xfId="0" applyNumberFormat="1" applyFont="1" applyFill="1" applyBorder="1" applyAlignment="1">
      <alignment horizontal="center" vertical="center"/>
    </xf>
    <xf numFmtId="176" fontId="30" fillId="2" borderId="38" xfId="0" applyNumberFormat="1" applyFont="1" applyFill="1" applyBorder="1" applyAlignment="1">
      <alignment horizontal="center" vertical="center"/>
    </xf>
    <xf numFmtId="176" fontId="65" fillId="0" borderId="81" xfId="0" applyNumberFormat="1" applyFont="1" applyBorder="1" applyAlignment="1">
      <alignment horizontal="center" vertical="center"/>
    </xf>
    <xf numFmtId="176" fontId="65" fillId="0" borderId="114" xfId="0" applyNumberFormat="1" applyFont="1" applyBorder="1" applyAlignment="1">
      <alignment horizontal="center" vertical="center"/>
    </xf>
    <xf numFmtId="176" fontId="65" fillId="0" borderId="115" xfId="0" applyNumberFormat="1" applyFont="1" applyBorder="1" applyAlignment="1">
      <alignment horizontal="center" vertical="center"/>
    </xf>
    <xf numFmtId="176" fontId="33" fillId="0" borderId="114" xfId="0" applyNumberFormat="1" applyFont="1" applyBorder="1" applyAlignment="1">
      <alignment horizontal="center" vertical="center"/>
    </xf>
    <xf numFmtId="176" fontId="63" fillId="0" borderId="0" xfId="0" applyNumberFormat="1" applyFont="1" applyBorder="1" applyAlignment="1">
      <alignment horizontal="center" vertical="center"/>
    </xf>
    <xf numFmtId="176" fontId="30" fillId="2" borderId="154" xfId="0" applyNumberFormat="1" applyFont="1" applyFill="1" applyBorder="1" applyAlignment="1">
      <alignment horizontal="center" vertical="center"/>
    </xf>
    <xf numFmtId="176" fontId="30" fillId="0" borderId="96" xfId="0" applyNumberFormat="1" applyFont="1" applyBorder="1" applyAlignment="1">
      <alignment horizontal="center" vertical="center"/>
    </xf>
    <xf numFmtId="176" fontId="30" fillId="2" borderId="59" xfId="0" applyNumberFormat="1" applyFont="1" applyFill="1" applyBorder="1" applyAlignment="1">
      <alignment horizontal="center" vertical="center"/>
    </xf>
    <xf numFmtId="176" fontId="30" fillId="2" borderId="0" xfId="0" applyNumberFormat="1" applyFont="1" applyFill="1" applyBorder="1" applyAlignment="1">
      <alignment horizontal="center" vertical="center"/>
    </xf>
    <xf numFmtId="176" fontId="30" fillId="0" borderId="0" xfId="0" applyNumberFormat="1" applyFont="1" applyBorder="1" applyAlignment="1">
      <alignment horizontal="center" vertical="center"/>
    </xf>
    <xf numFmtId="176" fontId="30" fillId="0" borderId="10" xfId="0" applyNumberFormat="1" applyFont="1" applyBorder="1" applyAlignment="1">
      <alignment horizontal="center" vertical="center"/>
    </xf>
    <xf numFmtId="176" fontId="21" fillId="0" borderId="142" xfId="0" applyNumberFormat="1" applyFont="1" applyBorder="1" applyAlignment="1">
      <alignment horizontal="center" vertical="center"/>
    </xf>
    <xf numFmtId="176" fontId="21" fillId="0" borderId="122" xfId="0" applyNumberFormat="1" applyFont="1" applyBorder="1" applyAlignment="1">
      <alignment horizontal="center" vertical="center"/>
    </xf>
    <xf numFmtId="176" fontId="21" fillId="0" borderId="123" xfId="0" applyNumberFormat="1" applyFont="1" applyBorder="1" applyAlignment="1">
      <alignment horizontal="center" vertical="center"/>
    </xf>
    <xf numFmtId="176" fontId="21" fillId="0" borderId="121" xfId="0" applyNumberFormat="1" applyFont="1" applyBorder="1" applyAlignment="1">
      <alignment horizontal="center" vertical="center"/>
    </xf>
    <xf numFmtId="176" fontId="21" fillId="0" borderId="145" xfId="0" applyNumberFormat="1" applyFont="1" applyBorder="1" applyAlignment="1">
      <alignment horizontal="center" vertical="center"/>
    </xf>
    <xf numFmtId="176" fontId="47" fillId="2" borderId="147" xfId="0" applyNumberFormat="1" applyFont="1" applyFill="1" applyBorder="1" applyAlignment="1">
      <alignment horizontal="center" vertical="center" wrapText="1"/>
    </xf>
    <xf numFmtId="176" fontId="47" fillId="15" borderId="73" xfId="0" applyNumberFormat="1" applyFont="1" applyFill="1" applyBorder="1" applyAlignment="1">
      <alignment horizontal="center" vertical="center" wrapText="1"/>
    </xf>
    <xf numFmtId="176" fontId="47" fillId="15" borderId="75" xfId="0" applyNumberFormat="1" applyFont="1" applyFill="1" applyBorder="1" applyAlignment="1">
      <alignment horizontal="center" vertical="center" wrapText="1"/>
    </xf>
    <xf numFmtId="176" fontId="47" fillId="15" borderId="81" xfId="0" applyNumberFormat="1" applyFont="1" applyFill="1" applyBorder="1" applyAlignment="1">
      <alignment horizontal="center" vertical="center" wrapText="1"/>
    </xf>
    <xf numFmtId="176" fontId="47" fillId="15" borderId="114" xfId="0" applyNumberFormat="1" applyFont="1" applyFill="1" applyBorder="1" applyAlignment="1">
      <alignment horizontal="center" vertical="center" wrapText="1"/>
    </xf>
    <xf numFmtId="176" fontId="54" fillId="2" borderId="136" xfId="0" applyNumberFormat="1" applyFont="1" applyFill="1" applyBorder="1" applyAlignment="1">
      <alignment horizontal="right" vertical="center"/>
    </xf>
    <xf numFmtId="176" fontId="54" fillId="2" borderId="38" xfId="0" applyNumberFormat="1" applyFont="1" applyFill="1" applyBorder="1" applyAlignment="1">
      <alignment horizontal="right" vertical="center"/>
    </xf>
    <xf numFmtId="176" fontId="18" fillId="0" borderId="88" xfId="0" applyNumberFormat="1" applyFont="1" applyBorder="1" applyAlignment="1">
      <alignment horizontal="center" vertical="center"/>
    </xf>
    <xf numFmtId="176" fontId="18" fillId="0" borderId="16" xfId="0" applyNumberFormat="1" applyFont="1" applyBorder="1" applyAlignment="1">
      <alignment horizontal="center" vertical="center"/>
    </xf>
    <xf numFmtId="176" fontId="18" fillId="0" borderId="17" xfId="0" applyNumberFormat="1" applyFont="1" applyBorder="1" applyAlignment="1">
      <alignment horizontal="center" vertical="center"/>
    </xf>
    <xf numFmtId="176" fontId="4" fillId="9" borderId="42" xfId="0" applyNumberFormat="1" applyFont="1" applyFill="1" applyBorder="1" applyAlignment="1">
      <alignment horizontal="center" vertical="center"/>
    </xf>
    <xf numFmtId="176" fontId="4" fillId="9" borderId="34" xfId="0" applyNumberFormat="1" applyFont="1" applyFill="1" applyBorder="1" applyAlignment="1">
      <alignment horizontal="center" vertical="center"/>
    </xf>
    <xf numFmtId="176" fontId="4" fillId="9" borderId="38" xfId="0" applyNumberFormat="1" applyFont="1" applyFill="1" applyBorder="1" applyAlignment="1">
      <alignment horizontal="center" vertical="center"/>
    </xf>
    <xf numFmtId="176" fontId="10" fillId="4" borderId="21" xfId="0" applyNumberFormat="1" applyFont="1" applyFill="1" applyBorder="1" applyAlignment="1">
      <alignment horizontal="center" vertical="center"/>
    </xf>
    <xf numFmtId="176" fontId="15" fillId="0" borderId="147" xfId="0" applyNumberFormat="1" applyFont="1" applyBorder="1" applyAlignment="1">
      <alignment horizontal="center" vertical="center"/>
    </xf>
    <xf numFmtId="178" fontId="14" fillId="2" borderId="14" xfId="0" applyNumberFormat="1" applyFont="1" applyFill="1" applyBorder="1" applyAlignment="1">
      <alignment vertical="center"/>
    </xf>
    <xf numFmtId="41" fontId="33" fillId="0" borderId="146" xfId="1" applyNumberFormat="1" applyFont="1" applyBorder="1" applyAlignment="1">
      <alignment horizontal="center" vertical="center"/>
    </xf>
    <xf numFmtId="41" fontId="33" fillId="0" borderId="114" xfId="1" applyNumberFormat="1" applyFont="1" applyBorder="1" applyAlignment="1">
      <alignment horizontal="center" vertical="center"/>
    </xf>
    <xf numFmtId="41" fontId="33" fillId="0" borderId="82" xfId="1" applyNumberFormat="1" applyFont="1" applyBorder="1" applyAlignment="1">
      <alignment horizontal="center" vertical="center"/>
    </xf>
    <xf numFmtId="176" fontId="25" fillId="6" borderId="142" xfId="0" applyNumberFormat="1" applyFont="1" applyFill="1" applyBorder="1" applyAlignment="1">
      <alignment horizontal="center" vertical="center"/>
    </xf>
    <xf numFmtId="176" fontId="25" fillId="6" borderId="155" xfId="0" applyNumberFormat="1" applyFont="1" applyFill="1" applyBorder="1" applyAlignment="1">
      <alignment horizontal="center" vertical="center"/>
    </xf>
    <xf numFmtId="176" fontId="25" fillId="8" borderId="142" xfId="0" applyNumberFormat="1" applyFont="1" applyFill="1" applyBorder="1" applyAlignment="1">
      <alignment horizontal="center" vertical="center"/>
    </xf>
    <xf numFmtId="176" fontId="25" fillId="8" borderId="155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6" fontId="62" fillId="16" borderId="52" xfId="0" applyNumberFormat="1" applyFont="1" applyFill="1" applyBorder="1" applyAlignment="1">
      <alignment horizontal="center" vertical="center"/>
    </xf>
    <xf numFmtId="176" fontId="62" fillId="16" borderId="53" xfId="0" applyNumberFormat="1" applyFont="1" applyFill="1" applyBorder="1" applyAlignment="1">
      <alignment horizontal="center" vertical="center"/>
    </xf>
    <xf numFmtId="176" fontId="62" fillId="16" borderId="54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285749</xdr:colOff>
      <xdr:row>32</xdr:row>
      <xdr:rowOff>152400</xdr:rowOff>
    </xdr:from>
    <xdr:to>
      <xdr:col>27</xdr:col>
      <xdr:colOff>1104900</xdr:colOff>
      <xdr:row>34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271949" y="33185100"/>
          <a:ext cx="2076451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A88"/>
  <sheetViews>
    <sheetView tabSelected="1" zoomScale="25" zoomScaleNormal="25" workbookViewId="0">
      <selection activeCell="AV50" sqref="AV50"/>
    </sheetView>
  </sheetViews>
  <sheetFormatPr defaultColWidth="10.125" defaultRowHeight="16.5" customHeight="1" x14ac:dyDescent="0.3"/>
  <cols>
    <col min="1" max="1" width="12.375" style="1" customWidth="1"/>
    <col min="2" max="2" width="53.875" style="2" customWidth="1"/>
    <col min="3" max="3" width="31.125" style="2" customWidth="1"/>
    <col min="4" max="4" width="23.5" style="2" customWidth="1"/>
    <col min="5" max="5" width="35.625" style="2" customWidth="1"/>
    <col min="6" max="6" width="9.25" style="2" customWidth="1"/>
    <col min="7" max="7" width="59.75" style="2" customWidth="1"/>
    <col min="8" max="8" width="28.125" style="2" customWidth="1"/>
    <col min="9" max="32" width="16.625" style="2" customWidth="1"/>
    <col min="33" max="33" width="10.125" style="2" customWidth="1"/>
    <col min="34" max="16384" width="10.125" style="2"/>
  </cols>
  <sheetData>
    <row r="2" spans="1:32" ht="60.6" customHeight="1" x14ac:dyDescent="0.3">
      <c r="A2" s="3"/>
      <c r="B2" s="154" t="s">
        <v>94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4"/>
      <c r="AB2" s="4"/>
      <c r="AC2" s="4"/>
      <c r="AD2" s="4"/>
      <c r="AE2" s="4"/>
      <c r="AF2" s="4"/>
    </row>
    <row r="3" spans="1:32" ht="99" customHeight="1" x14ac:dyDescent="0.3">
      <c r="A3" s="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500" t="s">
        <v>0</v>
      </c>
      <c r="AB3" s="500"/>
      <c r="AC3" s="500"/>
      <c r="AD3" s="500"/>
      <c r="AE3" s="500"/>
      <c r="AF3" s="500"/>
    </row>
    <row r="4" spans="1:32" ht="30" customHeight="1" thickBot="1" x14ac:dyDescent="0.35"/>
    <row r="5" spans="1:32" ht="91.5" customHeight="1" x14ac:dyDescent="0.3">
      <c r="B5" s="155" t="s">
        <v>1</v>
      </c>
      <c r="C5" s="156"/>
      <c r="D5" s="156"/>
      <c r="E5" s="157"/>
      <c r="F5" s="5"/>
      <c r="G5" s="158" t="s">
        <v>2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60"/>
    </row>
    <row r="6" spans="1:32" s="6" customFormat="1" ht="91.5" customHeight="1" x14ac:dyDescent="0.3">
      <c r="A6" s="7"/>
      <c r="B6" s="8" t="s">
        <v>3</v>
      </c>
      <c r="C6" s="9" t="s">
        <v>4</v>
      </c>
      <c r="D6" s="9" t="s">
        <v>5</v>
      </c>
      <c r="E6" s="10" t="s">
        <v>6</v>
      </c>
      <c r="F6" s="167"/>
      <c r="G6" s="161" t="s">
        <v>7</v>
      </c>
      <c r="H6" s="162"/>
      <c r="I6" s="163" t="s">
        <v>8</v>
      </c>
      <c r="J6" s="163"/>
      <c r="K6" s="163" t="s">
        <v>9</v>
      </c>
      <c r="L6" s="163"/>
      <c r="M6" s="163" t="s">
        <v>10</v>
      </c>
      <c r="N6" s="163"/>
      <c r="O6" s="163" t="s">
        <v>11</v>
      </c>
      <c r="P6" s="163"/>
      <c r="Q6" s="163" t="s">
        <v>12</v>
      </c>
      <c r="R6" s="163"/>
      <c r="S6" s="163" t="s">
        <v>13</v>
      </c>
      <c r="T6" s="163"/>
      <c r="U6" s="164" t="s">
        <v>14</v>
      </c>
      <c r="V6" s="164"/>
      <c r="W6" s="164" t="s">
        <v>15</v>
      </c>
      <c r="X6" s="164"/>
      <c r="AA6" s="163"/>
      <c r="AB6" s="165"/>
      <c r="AC6" s="163" t="s">
        <v>16</v>
      </c>
      <c r="AD6" s="166"/>
      <c r="AE6" s="163" t="s">
        <v>17</v>
      </c>
      <c r="AF6" s="166"/>
    </row>
    <row r="7" spans="1:32" s="6" customFormat="1" ht="91.5" customHeight="1" thickBot="1" x14ac:dyDescent="0.35">
      <c r="A7" s="7"/>
      <c r="B7" s="11" t="s">
        <v>18</v>
      </c>
      <c r="C7" s="12">
        <v>2800000</v>
      </c>
      <c r="D7" s="13"/>
      <c r="E7" s="14"/>
      <c r="F7" s="167"/>
      <c r="G7" s="15" t="s">
        <v>19</v>
      </c>
      <c r="H7" s="16" t="s">
        <v>4</v>
      </c>
      <c r="I7" s="17" t="s">
        <v>20</v>
      </c>
      <c r="J7" s="18" t="s">
        <v>21</v>
      </c>
      <c r="K7" s="19" t="s">
        <v>20</v>
      </c>
      <c r="L7" s="18" t="s">
        <v>21</v>
      </c>
      <c r="M7" s="19" t="s">
        <v>20</v>
      </c>
      <c r="N7" s="18" t="s">
        <v>21</v>
      </c>
      <c r="O7" s="19" t="s">
        <v>20</v>
      </c>
      <c r="P7" s="18" t="s">
        <v>21</v>
      </c>
      <c r="Q7" s="19" t="s">
        <v>20</v>
      </c>
      <c r="R7" s="18" t="s">
        <v>21</v>
      </c>
      <c r="S7" s="19" t="s">
        <v>20</v>
      </c>
      <c r="T7" s="18" t="s">
        <v>21</v>
      </c>
      <c r="U7" s="19" t="s">
        <v>20</v>
      </c>
      <c r="V7" s="18" t="s">
        <v>21</v>
      </c>
      <c r="W7" s="19" t="s">
        <v>20</v>
      </c>
      <c r="X7" s="18" t="s">
        <v>21</v>
      </c>
      <c r="Y7" s="19" t="s">
        <v>20</v>
      </c>
      <c r="Z7" s="18" t="s">
        <v>21</v>
      </c>
      <c r="AA7" s="19" t="s">
        <v>20</v>
      </c>
      <c r="AB7" s="20" t="s">
        <v>21</v>
      </c>
      <c r="AC7" s="19" t="s">
        <v>20</v>
      </c>
      <c r="AD7" s="21" t="s">
        <v>21</v>
      </c>
      <c r="AE7" s="19" t="s">
        <v>20</v>
      </c>
      <c r="AF7" s="21" t="s">
        <v>21</v>
      </c>
    </row>
    <row r="8" spans="1:32" s="6" customFormat="1" ht="91.5" customHeight="1" thickBot="1" x14ac:dyDescent="0.35">
      <c r="A8" s="7"/>
      <c r="B8" s="22" t="s">
        <v>22</v>
      </c>
      <c r="C8" s="23">
        <v>100000</v>
      </c>
      <c r="D8" s="24"/>
      <c r="E8" s="25"/>
      <c r="F8" s="167"/>
      <c r="G8" s="26" t="s">
        <v>23</v>
      </c>
      <c r="H8" s="27">
        <v>100000</v>
      </c>
      <c r="I8" s="28"/>
      <c r="J8" s="18"/>
      <c r="K8" s="19"/>
      <c r="L8" s="18"/>
      <c r="M8" s="19"/>
      <c r="N8" s="18"/>
      <c r="O8" s="19"/>
      <c r="P8" s="18"/>
      <c r="Q8" s="19"/>
      <c r="R8" s="18"/>
      <c r="S8" s="19"/>
      <c r="T8" s="18"/>
      <c r="U8" s="19"/>
      <c r="V8" s="18"/>
      <c r="W8" s="19"/>
      <c r="X8" s="18"/>
      <c r="Y8" s="19"/>
      <c r="Z8" s="18"/>
      <c r="AA8" s="19"/>
      <c r="AB8" s="20"/>
      <c r="AC8" s="19"/>
      <c r="AD8" s="21"/>
      <c r="AE8" s="359">
        <f>SUM(I8,K8,M8,O8,Q8,S8,U8,W8,Y8,AA8,AC8)</f>
        <v>0</v>
      </c>
      <c r="AF8" s="357">
        <f t="shared" ref="AE8:AF19" si="0">SUM(J8,L8,N8,P8,R8,T8,V8,X8,Z8,AB8,AD8)</f>
        <v>0</v>
      </c>
    </row>
    <row r="9" spans="1:32" ht="91.5" customHeight="1" x14ac:dyDescent="0.3">
      <c r="B9" s="30" t="s">
        <v>24</v>
      </c>
      <c r="C9" s="23">
        <v>400000</v>
      </c>
      <c r="D9" s="24"/>
      <c r="E9" s="25"/>
      <c r="F9" s="167"/>
      <c r="G9" s="31" t="s">
        <v>96</v>
      </c>
      <c r="H9" s="32">
        <v>100000</v>
      </c>
      <c r="I9" s="33"/>
      <c r="J9" s="34"/>
      <c r="K9" s="35"/>
      <c r="L9" s="36"/>
      <c r="M9" s="35"/>
      <c r="N9" s="36"/>
      <c r="O9" s="35"/>
      <c r="P9" s="36"/>
      <c r="Q9" s="35"/>
      <c r="R9" s="36"/>
      <c r="S9" s="35"/>
      <c r="T9" s="34"/>
      <c r="U9" s="35"/>
      <c r="V9" s="36"/>
      <c r="W9" s="35"/>
      <c r="X9" s="36"/>
      <c r="Y9" s="35"/>
      <c r="Z9" s="36"/>
      <c r="AA9" s="35"/>
      <c r="AB9" s="37"/>
      <c r="AC9" s="35"/>
      <c r="AD9" s="38"/>
      <c r="AE9" s="360">
        <f t="shared" si="0"/>
        <v>0</v>
      </c>
      <c r="AF9" s="29">
        <f t="shared" si="0"/>
        <v>0</v>
      </c>
    </row>
    <row r="10" spans="1:32" ht="91.5" customHeight="1" x14ac:dyDescent="0.3">
      <c r="B10" s="30" t="s">
        <v>25</v>
      </c>
      <c r="C10" s="23">
        <v>650000</v>
      </c>
      <c r="D10" s="24"/>
      <c r="E10" s="25"/>
      <c r="F10" s="167"/>
      <c r="G10" s="39" t="s">
        <v>26</v>
      </c>
      <c r="H10" s="40">
        <v>900000</v>
      </c>
      <c r="I10" s="41"/>
      <c r="J10" s="42"/>
      <c r="K10" s="43"/>
      <c r="L10" s="42"/>
      <c r="M10" s="44"/>
      <c r="N10" s="42"/>
      <c r="O10" s="43"/>
      <c r="P10" s="42"/>
      <c r="Q10" s="43"/>
      <c r="R10" s="42"/>
      <c r="S10" s="43"/>
      <c r="T10" s="42"/>
      <c r="U10" s="43"/>
      <c r="V10" s="42"/>
      <c r="W10" s="43"/>
      <c r="X10" s="42"/>
      <c r="Y10" s="43"/>
      <c r="Z10" s="42"/>
      <c r="AA10" s="43"/>
      <c r="AB10" s="45"/>
      <c r="AC10" s="43"/>
      <c r="AD10" s="46"/>
      <c r="AE10" s="361">
        <f>SUM(I10,K10,M11,O10,Q10,S10,U10,W10,Y10,AA10,AC10)</f>
        <v>0</v>
      </c>
      <c r="AF10" s="47">
        <f t="shared" si="0"/>
        <v>0</v>
      </c>
    </row>
    <row r="11" spans="1:32" ht="91.5" customHeight="1" x14ac:dyDescent="0.3">
      <c r="B11" s="30" t="s">
        <v>27</v>
      </c>
      <c r="C11" s="23">
        <v>900000</v>
      </c>
      <c r="D11" s="24"/>
      <c r="E11" s="25"/>
      <c r="F11" s="167"/>
      <c r="G11" s="39" t="s">
        <v>28</v>
      </c>
      <c r="H11" s="40">
        <v>1700000</v>
      </c>
      <c r="I11" s="41"/>
      <c r="J11" s="42"/>
      <c r="K11" s="43"/>
      <c r="L11" s="42"/>
      <c r="M11" s="43"/>
      <c r="N11" s="42"/>
      <c r="O11" s="43"/>
      <c r="P11" s="42"/>
      <c r="Q11" s="43"/>
      <c r="R11" s="42"/>
      <c r="S11" s="43"/>
      <c r="T11" s="42"/>
      <c r="U11" s="43"/>
      <c r="V11" s="42"/>
      <c r="W11" s="43"/>
      <c r="X11" s="42"/>
      <c r="Y11" s="43"/>
      <c r="Z11" s="42"/>
      <c r="AA11" s="43"/>
      <c r="AB11" s="45"/>
      <c r="AC11" s="43"/>
      <c r="AD11" s="46"/>
      <c r="AE11" s="361">
        <v>0</v>
      </c>
      <c r="AF11" s="47">
        <f t="shared" si="0"/>
        <v>0</v>
      </c>
    </row>
    <row r="12" spans="1:32" ht="91.5" customHeight="1" thickBot="1" x14ac:dyDescent="0.35">
      <c r="B12" s="30" t="s">
        <v>29</v>
      </c>
      <c r="C12" s="23">
        <v>400000</v>
      </c>
      <c r="D12" s="24"/>
      <c r="E12" s="25"/>
      <c r="F12" s="167"/>
      <c r="G12" s="48" t="s">
        <v>30</v>
      </c>
      <c r="H12" s="49">
        <v>2400000</v>
      </c>
      <c r="I12" s="50"/>
      <c r="J12" s="51"/>
      <c r="K12" s="52"/>
      <c r="L12" s="51"/>
      <c r="M12" s="52"/>
      <c r="N12" s="51"/>
      <c r="O12" s="52"/>
      <c r="P12" s="51"/>
      <c r="Q12" s="52"/>
      <c r="R12" s="51"/>
      <c r="S12" s="52"/>
      <c r="T12" s="51"/>
      <c r="U12" s="52"/>
      <c r="V12" s="51"/>
      <c r="W12" s="52"/>
      <c r="X12" s="51"/>
      <c r="Y12" s="52"/>
      <c r="Z12" s="51"/>
      <c r="AA12" s="52"/>
      <c r="AB12" s="53"/>
      <c r="AC12" s="52"/>
      <c r="AD12" s="54"/>
      <c r="AE12" s="362">
        <f t="shared" si="0"/>
        <v>0</v>
      </c>
      <c r="AF12" s="55">
        <f t="shared" si="0"/>
        <v>0</v>
      </c>
    </row>
    <row r="13" spans="1:32" ht="91.5" customHeight="1" x14ac:dyDescent="0.3">
      <c r="B13" s="30" t="s">
        <v>31</v>
      </c>
      <c r="C13" s="23">
        <v>350000</v>
      </c>
      <c r="D13" s="24"/>
      <c r="E13" s="25"/>
      <c r="F13" s="167"/>
      <c r="G13" s="56" t="s">
        <v>32</v>
      </c>
      <c r="H13" s="57">
        <v>80000</v>
      </c>
      <c r="I13" s="58"/>
      <c r="J13" s="59"/>
      <c r="K13" s="60"/>
      <c r="L13" s="59"/>
      <c r="M13" s="60"/>
      <c r="N13" s="59"/>
      <c r="O13" s="60"/>
      <c r="P13" s="59"/>
      <c r="Q13" s="60"/>
      <c r="R13" s="42"/>
      <c r="S13" s="60"/>
      <c r="T13" s="61"/>
      <c r="U13" s="60"/>
      <c r="V13" s="59"/>
      <c r="W13" s="60"/>
      <c r="X13" s="59"/>
      <c r="Y13" s="60"/>
      <c r="Z13" s="59"/>
      <c r="AA13" s="60"/>
      <c r="AB13" s="62"/>
      <c r="AC13" s="60"/>
      <c r="AD13" s="63"/>
      <c r="AE13" s="363">
        <f t="shared" si="0"/>
        <v>0</v>
      </c>
      <c r="AF13" s="29">
        <f t="shared" si="0"/>
        <v>0</v>
      </c>
    </row>
    <row r="14" spans="1:32" ht="91.5" customHeight="1" x14ac:dyDescent="0.3">
      <c r="B14" s="64" t="s">
        <v>33</v>
      </c>
      <c r="C14" s="65">
        <v>100000</v>
      </c>
      <c r="D14" s="24"/>
      <c r="E14" s="25"/>
      <c r="F14" s="167"/>
      <c r="G14" s="66" t="s">
        <v>34</v>
      </c>
      <c r="H14" s="67">
        <v>750000</v>
      </c>
      <c r="I14" s="68"/>
      <c r="J14" s="42"/>
      <c r="K14" s="43"/>
      <c r="L14" s="42"/>
      <c r="M14" s="43"/>
      <c r="N14" s="42"/>
      <c r="O14" s="43"/>
      <c r="P14" s="42"/>
      <c r="Q14" s="43"/>
      <c r="R14" s="42"/>
      <c r="S14" s="43"/>
      <c r="T14" s="42"/>
      <c r="U14" s="43"/>
      <c r="V14" s="42"/>
      <c r="W14" s="43"/>
      <c r="X14" s="42"/>
      <c r="Y14" s="43"/>
      <c r="Z14" s="42"/>
      <c r="AA14" s="43"/>
      <c r="AB14" s="45"/>
      <c r="AC14" s="43"/>
      <c r="AD14" s="46"/>
      <c r="AE14" s="361">
        <f t="shared" si="0"/>
        <v>0</v>
      </c>
      <c r="AF14" s="47">
        <f t="shared" si="0"/>
        <v>0</v>
      </c>
    </row>
    <row r="15" spans="1:32" ht="91.5" customHeight="1" x14ac:dyDescent="0.3">
      <c r="B15" s="64" t="s">
        <v>35</v>
      </c>
      <c r="C15" s="65">
        <v>50000</v>
      </c>
      <c r="D15" s="24"/>
      <c r="E15" s="25"/>
      <c r="F15" s="167"/>
      <c r="G15" s="66" t="s">
        <v>36</v>
      </c>
      <c r="H15" s="67">
        <v>1400000</v>
      </c>
      <c r="I15" s="69"/>
      <c r="J15" s="70"/>
      <c r="K15" s="71"/>
      <c r="L15" s="42"/>
      <c r="M15" s="71"/>
      <c r="N15" s="70"/>
      <c r="O15" s="71"/>
      <c r="P15" s="70"/>
      <c r="Q15" s="71"/>
      <c r="R15" s="42"/>
      <c r="S15" s="71"/>
      <c r="T15" s="70"/>
      <c r="U15" s="71"/>
      <c r="V15" s="70"/>
      <c r="W15" s="71"/>
      <c r="X15" s="70"/>
      <c r="Y15" s="71"/>
      <c r="Z15" s="70"/>
      <c r="AA15" s="71"/>
      <c r="AB15" s="72"/>
      <c r="AC15" s="71"/>
      <c r="AD15" s="73"/>
      <c r="AE15" s="361">
        <f t="shared" si="0"/>
        <v>0</v>
      </c>
      <c r="AF15" s="47">
        <f t="shared" si="0"/>
        <v>0</v>
      </c>
    </row>
    <row r="16" spans="1:32" ht="91.5" customHeight="1" thickBot="1" x14ac:dyDescent="0.35">
      <c r="B16" s="64" t="s">
        <v>37</v>
      </c>
      <c r="C16" s="65">
        <v>50000</v>
      </c>
      <c r="D16" s="24"/>
      <c r="E16" s="25"/>
      <c r="F16" s="167"/>
      <c r="G16" s="74" t="s">
        <v>38</v>
      </c>
      <c r="H16" s="75">
        <v>1950000</v>
      </c>
      <c r="I16" s="76"/>
      <c r="J16" s="77"/>
      <c r="K16" s="78"/>
      <c r="L16" s="51"/>
      <c r="M16" s="78"/>
      <c r="N16" s="77"/>
      <c r="O16" s="78"/>
      <c r="P16" s="77"/>
      <c r="Q16" s="78"/>
      <c r="R16" s="77"/>
      <c r="S16" s="78"/>
      <c r="T16" s="77"/>
      <c r="U16" s="78"/>
      <c r="V16" s="77"/>
      <c r="W16" s="78"/>
      <c r="X16" s="77"/>
      <c r="Y16" s="78"/>
      <c r="Z16" s="77"/>
      <c r="AA16" s="78"/>
      <c r="AB16" s="79"/>
      <c r="AC16" s="78"/>
      <c r="AD16" s="55"/>
      <c r="AE16" s="364">
        <f t="shared" si="0"/>
        <v>0</v>
      </c>
      <c r="AF16" s="80">
        <f t="shared" si="0"/>
        <v>0</v>
      </c>
    </row>
    <row r="17" spans="1:33" ht="91.5" customHeight="1" x14ac:dyDescent="0.3">
      <c r="B17" s="64" t="s">
        <v>39</v>
      </c>
      <c r="C17" s="65">
        <v>150000</v>
      </c>
      <c r="D17" s="81"/>
      <c r="E17" s="25"/>
      <c r="F17" s="167"/>
      <c r="G17" s="82" t="s">
        <v>40</v>
      </c>
      <c r="H17" s="83">
        <v>350000</v>
      </c>
      <c r="I17" s="84"/>
      <c r="J17" s="34"/>
      <c r="K17" s="85"/>
      <c r="L17" s="42"/>
      <c r="M17" s="85"/>
      <c r="N17" s="34"/>
      <c r="O17" s="85"/>
      <c r="P17" s="34"/>
      <c r="Q17" s="85"/>
      <c r="R17" s="34"/>
      <c r="S17" s="85"/>
      <c r="T17" s="34"/>
      <c r="U17" s="85"/>
      <c r="V17" s="34"/>
      <c r="W17" s="85"/>
      <c r="X17" s="34"/>
      <c r="Y17" s="85"/>
      <c r="Z17" s="34"/>
      <c r="AA17" s="85"/>
      <c r="AB17" s="86"/>
      <c r="AC17" s="85"/>
      <c r="AD17" s="29"/>
      <c r="AE17" s="360">
        <f t="shared" si="0"/>
        <v>0</v>
      </c>
      <c r="AF17" s="87">
        <f t="shared" si="0"/>
        <v>0</v>
      </c>
    </row>
    <row r="18" spans="1:33" ht="91.5" customHeight="1" thickBot="1" x14ac:dyDescent="0.35">
      <c r="B18" s="88" t="s">
        <v>41</v>
      </c>
      <c r="C18" s="89">
        <v>100000</v>
      </c>
      <c r="D18" s="90"/>
      <c r="E18" s="91"/>
      <c r="F18" s="167"/>
      <c r="G18" s="92" t="s">
        <v>42</v>
      </c>
      <c r="H18" s="93">
        <v>900000</v>
      </c>
      <c r="I18" s="68"/>
      <c r="J18" s="42"/>
      <c r="K18" s="43"/>
      <c r="L18" s="42"/>
      <c r="M18" s="43"/>
      <c r="N18" s="42"/>
      <c r="O18" s="43"/>
      <c r="P18" s="42"/>
      <c r="Q18" s="43"/>
      <c r="R18" s="42"/>
      <c r="S18" s="43"/>
      <c r="T18" s="42"/>
      <c r="U18" s="43"/>
      <c r="V18" s="42"/>
      <c r="W18" s="43"/>
      <c r="X18" s="42"/>
      <c r="Y18" s="43"/>
      <c r="Z18" s="42"/>
      <c r="AA18" s="43"/>
      <c r="AB18" s="45"/>
      <c r="AC18" s="68"/>
      <c r="AD18" s="46"/>
      <c r="AE18" s="361">
        <f t="shared" si="0"/>
        <v>0</v>
      </c>
      <c r="AF18" s="47">
        <f t="shared" si="0"/>
        <v>0</v>
      </c>
    </row>
    <row r="19" spans="1:33" ht="91.5" customHeight="1" thickBot="1" x14ac:dyDescent="0.35">
      <c r="B19" s="496" t="s">
        <v>17</v>
      </c>
      <c r="C19" s="497"/>
      <c r="D19" s="94">
        <f>SUM(D7:D18)</f>
        <v>0</v>
      </c>
      <c r="E19" s="366">
        <f>SUM(E7:E18)</f>
        <v>0</v>
      </c>
      <c r="F19" s="167"/>
      <c r="G19" s="92" t="s">
        <v>43</v>
      </c>
      <c r="H19" s="93">
        <v>1250000</v>
      </c>
      <c r="I19" s="355"/>
      <c r="J19" s="95"/>
      <c r="K19" s="96"/>
      <c r="L19" s="95"/>
      <c r="M19" s="96"/>
      <c r="N19" s="95"/>
      <c r="O19" s="96"/>
      <c r="P19" s="95"/>
      <c r="Q19" s="96"/>
      <c r="R19" s="95"/>
      <c r="S19" s="96"/>
      <c r="T19" s="95"/>
      <c r="U19" s="96"/>
      <c r="V19" s="95"/>
      <c r="W19" s="96"/>
      <c r="X19" s="95"/>
      <c r="Y19" s="96"/>
      <c r="Z19" s="95"/>
      <c r="AA19" s="96"/>
      <c r="AB19" s="53"/>
      <c r="AC19" s="96"/>
      <c r="AD19" s="54"/>
      <c r="AE19" s="361">
        <f t="shared" si="0"/>
        <v>0</v>
      </c>
      <c r="AF19" s="47">
        <f t="shared" si="0"/>
        <v>0</v>
      </c>
    </row>
    <row r="20" spans="1:33" ht="91.5" customHeight="1" thickTop="1" thickBot="1" x14ac:dyDescent="0.35">
      <c r="F20" s="167"/>
      <c r="G20" s="169" t="s">
        <v>44</v>
      </c>
      <c r="H20" s="170"/>
      <c r="I20" s="353">
        <f>SUM(I8:I19)</f>
        <v>0</v>
      </c>
      <c r="J20" s="356">
        <f t="shared" ref="J20:AD20" si="1">SUM(J8:J19)</f>
        <v>0</v>
      </c>
      <c r="K20" s="354">
        <f t="shared" si="1"/>
        <v>0</v>
      </c>
      <c r="L20" s="356">
        <f t="shared" si="1"/>
        <v>0</v>
      </c>
      <c r="M20" s="354">
        <f t="shared" si="1"/>
        <v>0</v>
      </c>
      <c r="N20" s="356">
        <f t="shared" si="1"/>
        <v>0</v>
      </c>
      <c r="O20" s="354">
        <f t="shared" si="1"/>
        <v>0</v>
      </c>
      <c r="P20" s="356">
        <f t="shared" si="1"/>
        <v>0</v>
      </c>
      <c r="Q20" s="354">
        <f t="shared" si="1"/>
        <v>0</v>
      </c>
      <c r="R20" s="356">
        <f t="shared" si="1"/>
        <v>0</v>
      </c>
      <c r="S20" s="354">
        <f t="shared" si="1"/>
        <v>0</v>
      </c>
      <c r="T20" s="356">
        <f t="shared" si="1"/>
        <v>0</v>
      </c>
      <c r="U20" s="354">
        <f t="shared" si="1"/>
        <v>0</v>
      </c>
      <c r="V20" s="356">
        <f t="shared" si="1"/>
        <v>0</v>
      </c>
      <c r="W20" s="354">
        <f t="shared" si="1"/>
        <v>0</v>
      </c>
      <c r="X20" s="356">
        <f t="shared" si="1"/>
        <v>0</v>
      </c>
      <c r="Y20" s="354">
        <f t="shared" si="1"/>
        <v>0</v>
      </c>
      <c r="Z20" s="356">
        <f t="shared" si="1"/>
        <v>0</v>
      </c>
      <c r="AA20" s="354">
        <f t="shared" si="1"/>
        <v>0</v>
      </c>
      <c r="AB20" s="358">
        <f t="shared" si="1"/>
        <v>0</v>
      </c>
      <c r="AC20" s="352">
        <f t="shared" si="1"/>
        <v>0</v>
      </c>
      <c r="AD20" s="97">
        <f t="shared" si="1"/>
        <v>0</v>
      </c>
      <c r="AE20" s="365">
        <f>SUM(AE8:AE19)</f>
        <v>0</v>
      </c>
      <c r="AF20" s="97">
        <f>SUM(AF8:AF19)</f>
        <v>0</v>
      </c>
    </row>
    <row r="21" spans="1:33" ht="91.5" customHeight="1" thickBot="1" x14ac:dyDescent="0.35">
      <c r="F21" s="167"/>
      <c r="G21" s="171" t="s">
        <v>45</v>
      </c>
      <c r="H21" s="172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4">
        <f>SUM(I21:AD21)</f>
        <v>0</v>
      </c>
      <c r="AF21" s="175"/>
    </row>
    <row r="22" spans="1:33" ht="91.5" customHeight="1" x14ac:dyDescent="0.3">
      <c r="A22" s="98"/>
      <c r="B22" s="176" t="s">
        <v>46</v>
      </c>
      <c r="C22" s="177"/>
      <c r="D22" s="177"/>
      <c r="E22" s="178"/>
      <c r="F22" s="167"/>
      <c r="G22" s="179" t="s">
        <v>47</v>
      </c>
      <c r="H22" s="180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2">
        <f>SUM(I22:AD22)</f>
        <v>0</v>
      </c>
      <c r="AF22" s="183"/>
      <c r="AG22" s="99"/>
    </row>
    <row r="23" spans="1:33" ht="91.5" customHeight="1" x14ac:dyDescent="0.3">
      <c r="A23" s="98"/>
      <c r="B23" s="100" t="s">
        <v>19</v>
      </c>
      <c r="C23" s="101" t="s">
        <v>48</v>
      </c>
      <c r="D23" s="101" t="s">
        <v>5</v>
      </c>
      <c r="E23" s="102" t="s">
        <v>17</v>
      </c>
      <c r="F23" s="168"/>
      <c r="G23" s="184" t="s">
        <v>97</v>
      </c>
      <c r="H23" s="185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7"/>
      <c r="AE23" s="188">
        <f>SUM(I23:AD23)</f>
        <v>0</v>
      </c>
      <c r="AF23" s="189"/>
      <c r="AG23" s="99"/>
    </row>
    <row r="24" spans="1:33" ht="91.5" customHeight="1" x14ac:dyDescent="0.3">
      <c r="A24" s="98"/>
      <c r="B24" s="103" t="s">
        <v>49</v>
      </c>
      <c r="C24" s="104">
        <v>55000</v>
      </c>
      <c r="D24" s="105"/>
      <c r="E24" s="106"/>
      <c r="F24" s="167"/>
      <c r="G24" s="190" t="s">
        <v>50</v>
      </c>
      <c r="H24" s="191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3"/>
      <c r="AE24" s="194">
        <f>SUM(I24:AD24)</f>
        <v>0</v>
      </c>
      <c r="AF24" s="195"/>
    </row>
    <row r="25" spans="1:33" ht="91.5" customHeight="1" thickTop="1" thickBot="1" x14ac:dyDescent="0.35">
      <c r="A25" s="98"/>
      <c r="B25" s="64" t="s">
        <v>51</v>
      </c>
      <c r="C25" s="65">
        <v>5000</v>
      </c>
      <c r="D25" s="107"/>
      <c r="E25" s="108"/>
      <c r="F25" s="109"/>
      <c r="G25" s="196"/>
      <c r="H25" s="197"/>
      <c r="I25" s="198"/>
      <c r="J25" s="199"/>
      <c r="K25" s="198"/>
      <c r="L25" s="199"/>
      <c r="M25" s="200"/>
      <c r="N25" s="201"/>
      <c r="O25" s="198"/>
      <c r="P25" s="199"/>
      <c r="Q25" s="198"/>
      <c r="R25" s="199"/>
      <c r="S25" s="198"/>
      <c r="T25" s="199"/>
      <c r="U25" s="198"/>
      <c r="V25" s="199"/>
      <c r="W25" s="198"/>
      <c r="X25" s="199"/>
      <c r="Y25" s="198"/>
      <c r="Z25" s="199"/>
      <c r="AA25" s="198"/>
      <c r="AB25" s="199"/>
      <c r="AC25" s="198"/>
      <c r="AD25" s="199"/>
      <c r="AE25" s="198"/>
      <c r="AF25" s="199"/>
    </row>
    <row r="26" spans="1:33" ht="91.5" customHeight="1" thickTop="1" thickBot="1" x14ac:dyDescent="0.35">
      <c r="A26" s="98"/>
      <c r="B26" s="431" t="s">
        <v>52</v>
      </c>
      <c r="C26" s="432">
        <v>2000</v>
      </c>
      <c r="D26" s="433"/>
      <c r="E26" s="434"/>
      <c r="G26" s="202" t="s">
        <v>53</v>
      </c>
      <c r="H26" s="203"/>
      <c r="I26" s="111"/>
      <c r="J26" s="112"/>
      <c r="K26" s="112"/>
      <c r="L26" s="112"/>
      <c r="M26" s="112"/>
      <c r="O26" s="112"/>
      <c r="P26" s="112"/>
      <c r="Q26" s="112"/>
      <c r="R26" s="112"/>
      <c r="S26" s="112"/>
      <c r="T26" s="113"/>
      <c r="U26" s="114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6"/>
    </row>
    <row r="27" spans="1:33" ht="91.5" customHeight="1" thickBot="1" x14ac:dyDescent="0.35">
      <c r="B27" s="498" t="s">
        <v>54</v>
      </c>
      <c r="C27" s="499"/>
      <c r="D27" s="429">
        <f>SUM(D24:D26)</f>
        <v>0</v>
      </c>
      <c r="E27" s="430">
        <f>SUM(E24:E26)</f>
        <v>0</v>
      </c>
      <c r="G27" s="204"/>
      <c r="H27" s="205"/>
      <c r="I27" s="206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8"/>
      <c r="U27" s="209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1"/>
    </row>
    <row r="28" spans="1:33" ht="54.75" customHeight="1" thickTop="1" x14ac:dyDescent="0.3"/>
    <row r="29" spans="1:33" ht="54.75" customHeight="1" thickBot="1" x14ac:dyDescent="0.35"/>
    <row r="30" spans="1:33" ht="39.950000000000003" customHeight="1" thickTop="1" x14ac:dyDescent="0.3">
      <c r="B30" s="501" t="s">
        <v>95</v>
      </c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  <c r="R30" s="117"/>
      <c r="S30" s="118"/>
      <c r="T30" s="118"/>
      <c r="U30" s="118"/>
      <c r="V30" s="118"/>
      <c r="W30" s="118"/>
      <c r="AA30" s="212" t="s">
        <v>55</v>
      </c>
      <c r="AB30" s="213"/>
      <c r="AC30" s="213"/>
      <c r="AD30" s="213"/>
      <c r="AE30" s="213"/>
      <c r="AF30" s="214"/>
    </row>
    <row r="31" spans="1:33" ht="39.950000000000003" customHeight="1" thickBot="1" x14ac:dyDescent="0.35">
      <c r="B31" s="501"/>
      <c r="C31" s="501"/>
      <c r="D31" s="501"/>
      <c r="E31" s="501"/>
      <c r="F31" s="501"/>
      <c r="G31" s="501"/>
      <c r="H31" s="501"/>
      <c r="I31" s="501"/>
      <c r="J31" s="501"/>
      <c r="K31" s="501"/>
      <c r="L31" s="501"/>
      <c r="M31" s="501"/>
      <c r="N31" s="501"/>
      <c r="O31" s="501"/>
      <c r="P31" s="501"/>
      <c r="Q31" s="501"/>
      <c r="R31" s="117"/>
      <c r="S31" s="118"/>
      <c r="T31" s="500" t="s">
        <v>90</v>
      </c>
      <c r="U31" s="500"/>
      <c r="V31" s="500"/>
      <c r="W31" s="500"/>
      <c r="X31" s="500"/>
      <c r="Y31" s="500"/>
      <c r="AA31" s="487"/>
      <c r="AB31" s="488"/>
      <c r="AC31" s="488"/>
      <c r="AD31" s="488"/>
      <c r="AE31" s="488"/>
      <c r="AF31" s="489"/>
    </row>
    <row r="32" spans="1:33" ht="69.95" customHeight="1" x14ac:dyDescent="0.3">
      <c r="B32" s="501"/>
      <c r="C32" s="501"/>
      <c r="D32" s="501"/>
      <c r="E32" s="501"/>
      <c r="F32" s="501"/>
      <c r="G32" s="501"/>
      <c r="H32" s="501"/>
      <c r="I32" s="501"/>
      <c r="J32" s="501"/>
      <c r="K32" s="501"/>
      <c r="L32" s="501"/>
      <c r="M32" s="501"/>
      <c r="N32" s="501"/>
      <c r="O32" s="501"/>
      <c r="P32" s="501"/>
      <c r="Q32" s="501"/>
      <c r="R32" s="117"/>
      <c r="S32" s="118"/>
      <c r="T32" s="500"/>
      <c r="U32" s="500"/>
      <c r="V32" s="500"/>
      <c r="W32" s="500"/>
      <c r="X32" s="500"/>
      <c r="Y32" s="500"/>
      <c r="AA32" s="484" t="s">
        <v>56</v>
      </c>
      <c r="AB32" s="485"/>
      <c r="AC32" s="485" t="s">
        <v>57</v>
      </c>
      <c r="AD32" s="485"/>
      <c r="AE32" s="485" t="s">
        <v>58</v>
      </c>
      <c r="AF32" s="486"/>
    </row>
    <row r="33" spans="2:53" ht="50.1" customHeight="1" thickBot="1" x14ac:dyDescent="0.35"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8"/>
      <c r="AA33" s="215"/>
      <c r="AB33" s="216"/>
      <c r="AC33" s="216"/>
      <c r="AD33" s="216"/>
      <c r="AE33" s="216"/>
      <c r="AF33" s="219"/>
    </row>
    <row r="34" spans="2:53" ht="46.5" customHeight="1" thickTop="1" x14ac:dyDescent="0.3">
      <c r="B34" s="221" t="s">
        <v>59</v>
      </c>
      <c r="C34" s="222"/>
      <c r="D34" s="222"/>
      <c r="E34" s="223"/>
      <c r="F34" s="119"/>
      <c r="G34" s="227" t="s">
        <v>60</v>
      </c>
      <c r="H34" s="228"/>
      <c r="I34" s="228"/>
      <c r="J34" s="228"/>
      <c r="K34" s="228"/>
      <c r="L34" s="228"/>
      <c r="M34" s="229"/>
      <c r="O34" s="233" t="s">
        <v>101</v>
      </c>
      <c r="P34" s="234"/>
      <c r="Q34" s="234"/>
      <c r="R34" s="234"/>
      <c r="S34" s="234"/>
      <c r="T34" s="234"/>
      <c r="U34" s="234"/>
      <c r="V34" s="234"/>
      <c r="W34" s="234"/>
      <c r="X34" s="234"/>
      <c r="Y34" s="235"/>
      <c r="AA34" s="215"/>
      <c r="AB34" s="216"/>
      <c r="AC34" s="216"/>
      <c r="AD34" s="216"/>
      <c r="AE34" s="216"/>
      <c r="AF34" s="219"/>
    </row>
    <row r="35" spans="2:53" ht="46.5" customHeight="1" thickBot="1" x14ac:dyDescent="0.35">
      <c r="B35" s="224"/>
      <c r="C35" s="225"/>
      <c r="D35" s="225"/>
      <c r="E35" s="226"/>
      <c r="F35" s="119"/>
      <c r="G35" s="230"/>
      <c r="H35" s="231"/>
      <c r="I35" s="231"/>
      <c r="J35" s="231"/>
      <c r="K35" s="231"/>
      <c r="L35" s="231"/>
      <c r="M35" s="232"/>
      <c r="N35" s="120"/>
      <c r="O35" s="236"/>
      <c r="P35" s="237"/>
      <c r="Q35" s="237"/>
      <c r="R35" s="237"/>
      <c r="S35" s="237"/>
      <c r="T35" s="237"/>
      <c r="U35" s="237"/>
      <c r="V35" s="237"/>
      <c r="W35" s="237"/>
      <c r="X35" s="237"/>
      <c r="Y35" s="238"/>
      <c r="AA35" s="217"/>
      <c r="AB35" s="218"/>
      <c r="AC35" s="218"/>
      <c r="AD35" s="218"/>
      <c r="AE35" s="218"/>
      <c r="AF35" s="220"/>
    </row>
    <row r="36" spans="2:53" ht="46.5" customHeight="1" thickTop="1" thickBot="1" x14ac:dyDescent="0.35">
      <c r="B36" s="418"/>
      <c r="C36" s="419"/>
      <c r="D36" s="419"/>
      <c r="E36" s="420"/>
      <c r="F36" s="119"/>
      <c r="G36" s="415"/>
      <c r="H36" s="416"/>
      <c r="I36" s="416"/>
      <c r="J36" s="416"/>
      <c r="K36" s="416"/>
      <c r="L36" s="416"/>
      <c r="M36" s="417"/>
      <c r="N36" s="120"/>
      <c r="O36" s="239"/>
      <c r="P36" s="240"/>
      <c r="Q36" s="240"/>
      <c r="R36" s="240"/>
      <c r="S36" s="240"/>
      <c r="T36" s="240"/>
      <c r="U36" s="240"/>
      <c r="V36" s="240"/>
      <c r="W36" s="240"/>
      <c r="X36" s="240"/>
      <c r="Y36" s="241"/>
      <c r="Z36" s="99"/>
    </row>
    <row r="37" spans="2:53" ht="90.75" customHeight="1" thickTop="1" thickBot="1" x14ac:dyDescent="0.35">
      <c r="B37" s="421" t="s">
        <v>62</v>
      </c>
      <c r="C37" s="422" t="s">
        <v>93</v>
      </c>
      <c r="D37" s="423">
        <f>SUMIF($P$38:$P$47,"현금", $Z$38:$AC$47)</f>
        <v>0</v>
      </c>
      <c r="E37" s="424"/>
      <c r="F37" s="119"/>
      <c r="G37" s="291" t="s">
        <v>63</v>
      </c>
      <c r="H37" s="412" t="s">
        <v>64</v>
      </c>
      <c r="I37" s="413"/>
      <c r="J37" s="414"/>
      <c r="K37" s="252"/>
      <c r="L37" s="252"/>
      <c r="M37" s="253"/>
      <c r="O37" s="387" t="s">
        <v>65</v>
      </c>
      <c r="P37" s="122" t="s">
        <v>66</v>
      </c>
      <c r="Q37" s="244" t="s">
        <v>67</v>
      </c>
      <c r="R37" s="244"/>
      <c r="S37" s="244"/>
      <c r="T37" s="245"/>
      <c r="U37" s="246" t="s">
        <v>61</v>
      </c>
      <c r="V37" s="247"/>
      <c r="W37" s="247"/>
      <c r="X37" s="247"/>
      <c r="Y37" s="248"/>
      <c r="Z37" s="398" t="s">
        <v>48</v>
      </c>
      <c r="AA37" s="399"/>
      <c r="AB37" s="399"/>
      <c r="AC37" s="400"/>
      <c r="AD37" s="399" t="s">
        <v>68</v>
      </c>
      <c r="AE37" s="399"/>
      <c r="AF37" s="401"/>
    </row>
    <row r="38" spans="2:53" ht="90.75" customHeight="1" x14ac:dyDescent="0.3">
      <c r="B38" s="249"/>
      <c r="C38" s="123" t="s">
        <v>91</v>
      </c>
      <c r="D38" s="367">
        <f>SUMIF($P$38:$P$47,"카드", $Z$38:$AC$47)</f>
        <v>0</v>
      </c>
      <c r="E38" s="368"/>
      <c r="F38" s="119"/>
      <c r="G38" s="291"/>
      <c r="H38" s="250" t="s">
        <v>69</v>
      </c>
      <c r="I38" s="251"/>
      <c r="J38" s="252"/>
      <c r="K38" s="252"/>
      <c r="L38" s="252"/>
      <c r="M38" s="253"/>
      <c r="O38" s="388">
        <v>1</v>
      </c>
      <c r="P38" s="124"/>
      <c r="Q38" s="254"/>
      <c r="R38" s="254"/>
      <c r="S38" s="254"/>
      <c r="T38" s="255"/>
      <c r="U38" s="256"/>
      <c r="V38" s="257"/>
      <c r="W38" s="257"/>
      <c r="X38" s="257"/>
      <c r="Y38" s="258"/>
      <c r="Z38" s="259"/>
      <c r="AA38" s="260"/>
      <c r="AB38" s="260"/>
      <c r="AC38" s="261"/>
      <c r="AD38" s="125"/>
      <c r="AE38" s="126"/>
      <c r="AF38" s="393"/>
    </row>
    <row r="39" spans="2:53" ht="90.75" customHeight="1" x14ac:dyDescent="0.3">
      <c r="B39" s="249"/>
      <c r="C39" s="123" t="s">
        <v>92</v>
      </c>
      <c r="D39" s="367">
        <f>SUMIF($P$38:$P$47,"계좌", $Z$38:$AC$47)</f>
        <v>0</v>
      </c>
      <c r="E39" s="368"/>
      <c r="F39" s="119"/>
      <c r="G39" s="291"/>
      <c r="H39" s="262" t="s">
        <v>70</v>
      </c>
      <c r="I39" s="263"/>
      <c r="J39" s="264"/>
      <c r="K39" s="264"/>
      <c r="L39" s="264"/>
      <c r="M39" s="265"/>
      <c r="O39" s="389">
        <v>2</v>
      </c>
      <c r="P39" s="124"/>
      <c r="Q39" s="266"/>
      <c r="R39" s="266"/>
      <c r="S39" s="266"/>
      <c r="T39" s="267"/>
      <c r="U39" s="256"/>
      <c r="V39" s="257"/>
      <c r="W39" s="257"/>
      <c r="X39" s="257"/>
      <c r="Y39" s="258"/>
      <c r="Z39" s="268"/>
      <c r="AA39" s="269"/>
      <c r="AB39" s="269"/>
      <c r="AC39" s="270"/>
      <c r="AD39" s="128"/>
      <c r="AE39" s="128"/>
      <c r="AF39" s="394"/>
    </row>
    <row r="40" spans="2:53" ht="90.75" customHeight="1" thickBot="1" x14ac:dyDescent="0.35">
      <c r="B40" s="425"/>
      <c r="C40" s="426" t="s">
        <v>71</v>
      </c>
      <c r="D40" s="427"/>
      <c r="E40" s="428"/>
      <c r="F40" s="119"/>
      <c r="G40" s="477"/>
      <c r="H40" s="408" t="s">
        <v>54</v>
      </c>
      <c r="I40" s="409"/>
      <c r="J40" s="410"/>
      <c r="K40" s="410"/>
      <c r="L40" s="410"/>
      <c r="M40" s="411"/>
      <c r="O40" s="389">
        <v>3</v>
      </c>
      <c r="P40" s="127"/>
      <c r="Q40" s="266"/>
      <c r="R40" s="266"/>
      <c r="S40" s="266"/>
      <c r="T40" s="267"/>
      <c r="U40" s="256"/>
      <c r="V40" s="257"/>
      <c r="W40" s="257"/>
      <c r="X40" s="257"/>
      <c r="Y40" s="258"/>
      <c r="Z40" s="271"/>
      <c r="AA40" s="272"/>
      <c r="AB40" s="272"/>
      <c r="AC40" s="273"/>
      <c r="AD40" s="274"/>
      <c r="AE40" s="274"/>
      <c r="AF40" s="395"/>
    </row>
    <row r="41" spans="2:53" ht="90.75" customHeight="1" thickBot="1" x14ac:dyDescent="0.35">
      <c r="B41" s="402" t="s">
        <v>17</v>
      </c>
      <c r="C41" s="404"/>
      <c r="D41" s="373">
        <f>SUM(D37:D40)</f>
        <v>0</v>
      </c>
      <c r="E41" s="374"/>
      <c r="F41" s="119"/>
      <c r="G41" s="402" t="s">
        <v>17</v>
      </c>
      <c r="H41" s="403"/>
      <c r="I41" s="404"/>
      <c r="J41" s="405">
        <f>SUM(J37:M40)</f>
        <v>0</v>
      </c>
      <c r="K41" s="406"/>
      <c r="L41" s="406"/>
      <c r="M41" s="407"/>
      <c r="O41" s="389">
        <v>4</v>
      </c>
      <c r="P41" s="127"/>
      <c r="Q41" s="266"/>
      <c r="R41" s="266"/>
      <c r="S41" s="266"/>
      <c r="T41" s="267"/>
      <c r="U41" s="276"/>
      <c r="V41" s="266"/>
      <c r="W41" s="266"/>
      <c r="X41" s="266"/>
      <c r="Y41" s="267"/>
      <c r="Z41" s="277"/>
      <c r="AA41" s="278"/>
      <c r="AB41" s="278"/>
      <c r="AC41" s="279"/>
      <c r="AD41" s="274"/>
      <c r="AE41" s="274"/>
      <c r="AF41" s="395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</row>
    <row r="42" spans="2:53" ht="90.75" customHeight="1" thickTop="1" thickBot="1" x14ac:dyDescent="0.35">
      <c r="B42" s="280"/>
      <c r="C42" s="280"/>
      <c r="D42" s="280"/>
      <c r="E42" s="280"/>
      <c r="F42" s="119"/>
      <c r="G42" s="281"/>
      <c r="H42" s="281"/>
      <c r="I42" s="281"/>
      <c r="J42" s="281"/>
      <c r="K42" s="281"/>
      <c r="L42" s="281"/>
      <c r="M42" s="281"/>
      <c r="O42" s="389">
        <v>5</v>
      </c>
      <c r="P42" s="127"/>
      <c r="Q42" s="266"/>
      <c r="R42" s="266"/>
      <c r="S42" s="266"/>
      <c r="T42" s="267"/>
      <c r="U42" s="256"/>
      <c r="V42" s="257"/>
      <c r="W42" s="257"/>
      <c r="X42" s="257"/>
      <c r="Y42" s="258"/>
      <c r="Z42" s="271"/>
      <c r="AA42" s="272"/>
      <c r="AB42" s="272"/>
      <c r="AC42" s="273"/>
      <c r="AD42" s="274"/>
      <c r="AE42" s="274"/>
      <c r="AF42" s="395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</row>
    <row r="43" spans="2:53" ht="90.75" customHeight="1" thickTop="1" x14ac:dyDescent="0.3">
      <c r="B43" s="290" t="s">
        <v>72</v>
      </c>
      <c r="C43" s="121" t="s">
        <v>93</v>
      </c>
      <c r="D43" s="282"/>
      <c r="E43" s="283"/>
      <c r="F43" s="119"/>
      <c r="G43" s="290" t="s">
        <v>73</v>
      </c>
      <c r="H43" s="284" t="s">
        <v>98</v>
      </c>
      <c r="I43" s="285"/>
      <c r="J43" s="242"/>
      <c r="K43" s="242"/>
      <c r="L43" s="242"/>
      <c r="M43" s="243"/>
      <c r="O43" s="389">
        <v>6</v>
      </c>
      <c r="P43" s="127"/>
      <c r="Q43" s="266"/>
      <c r="R43" s="266"/>
      <c r="S43" s="266"/>
      <c r="T43" s="267"/>
      <c r="U43" s="276"/>
      <c r="V43" s="266"/>
      <c r="W43" s="266"/>
      <c r="X43" s="266"/>
      <c r="Y43" s="267"/>
      <c r="Z43" s="286"/>
      <c r="AA43" s="274"/>
      <c r="AB43" s="274"/>
      <c r="AC43" s="275"/>
      <c r="AD43" s="287"/>
      <c r="AE43" s="288"/>
      <c r="AF43" s="396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</row>
    <row r="44" spans="2:53" ht="90.75" customHeight="1" x14ac:dyDescent="0.3">
      <c r="B44" s="291"/>
      <c r="C44" s="123" t="s">
        <v>91</v>
      </c>
      <c r="D44" s="292"/>
      <c r="E44" s="293"/>
      <c r="F44" s="130"/>
      <c r="G44" s="291"/>
      <c r="H44" s="262" t="s">
        <v>99</v>
      </c>
      <c r="I44" s="263"/>
      <c r="J44" s="264"/>
      <c r="K44" s="264"/>
      <c r="L44" s="264"/>
      <c r="M44" s="265"/>
      <c r="O44" s="389">
        <v>7</v>
      </c>
      <c r="P44" s="127"/>
      <c r="Q44" s="266"/>
      <c r="R44" s="266"/>
      <c r="S44" s="266"/>
      <c r="T44" s="267"/>
      <c r="U44" s="276"/>
      <c r="V44" s="266"/>
      <c r="W44" s="266"/>
      <c r="X44" s="266"/>
      <c r="Y44" s="267"/>
      <c r="Z44" s="286"/>
      <c r="AA44" s="274"/>
      <c r="AB44" s="274"/>
      <c r="AC44" s="275"/>
      <c r="AD44" s="274"/>
      <c r="AE44" s="274"/>
      <c r="AF44" s="395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</row>
    <row r="45" spans="2:53" ht="90.75" customHeight="1" thickBot="1" x14ac:dyDescent="0.35">
      <c r="B45" s="477"/>
      <c r="C45" s="426" t="s">
        <v>74</v>
      </c>
      <c r="D45" s="482"/>
      <c r="E45" s="483"/>
      <c r="F45" s="130"/>
      <c r="G45" s="477"/>
      <c r="H45" s="408" t="s">
        <v>100</v>
      </c>
      <c r="I45" s="409"/>
      <c r="J45" s="410"/>
      <c r="K45" s="410"/>
      <c r="L45" s="410"/>
      <c r="M45" s="411"/>
      <c r="O45" s="389">
        <v>8</v>
      </c>
      <c r="P45" s="127"/>
      <c r="Q45" s="266"/>
      <c r="R45" s="266"/>
      <c r="S45" s="266"/>
      <c r="T45" s="267"/>
      <c r="U45" s="276"/>
      <c r="V45" s="266"/>
      <c r="W45" s="266"/>
      <c r="X45" s="266"/>
      <c r="Y45" s="267"/>
      <c r="Z45" s="286"/>
      <c r="AA45" s="274"/>
      <c r="AB45" s="274"/>
      <c r="AC45" s="275"/>
      <c r="AD45" s="274"/>
      <c r="AE45" s="274"/>
      <c r="AF45" s="395"/>
    </row>
    <row r="46" spans="2:53" ht="90.75" customHeight="1" thickBot="1" x14ac:dyDescent="0.35">
      <c r="B46" s="402" t="s">
        <v>17</v>
      </c>
      <c r="C46" s="404"/>
      <c r="D46" s="369">
        <f>SUM(D43:E45)</f>
        <v>0</v>
      </c>
      <c r="E46" s="370"/>
      <c r="F46" s="131"/>
      <c r="G46" s="402" t="s">
        <v>17</v>
      </c>
      <c r="H46" s="403"/>
      <c r="I46" s="404"/>
      <c r="J46" s="373">
        <f>SUM(J43:J45)</f>
        <v>0</v>
      </c>
      <c r="K46" s="373"/>
      <c r="L46" s="373"/>
      <c r="M46" s="374"/>
      <c r="O46" s="390">
        <v>9</v>
      </c>
      <c r="P46" s="127"/>
      <c r="Q46" s="266"/>
      <c r="R46" s="266"/>
      <c r="S46" s="266"/>
      <c r="T46" s="267"/>
      <c r="U46" s="276"/>
      <c r="V46" s="266"/>
      <c r="W46" s="266"/>
      <c r="X46" s="266"/>
      <c r="Y46" s="267"/>
      <c r="Z46" s="286"/>
      <c r="AA46" s="274"/>
      <c r="AB46" s="274"/>
      <c r="AC46" s="275"/>
      <c r="AD46" s="274"/>
      <c r="AE46" s="274"/>
      <c r="AF46" s="395"/>
    </row>
    <row r="47" spans="2:53" ht="90.75" customHeight="1" thickTop="1" thickBot="1" x14ac:dyDescent="0.35">
      <c r="B47" s="294" t="s">
        <v>75</v>
      </c>
      <c r="C47" s="295"/>
      <c r="D47" s="371">
        <f>D41-D46</f>
        <v>0</v>
      </c>
      <c r="E47" s="371"/>
      <c r="F47" s="132"/>
      <c r="G47" s="478" t="s">
        <v>76</v>
      </c>
      <c r="H47" s="479"/>
      <c r="I47" s="479"/>
      <c r="J47" s="375">
        <f>J41-J46</f>
        <v>0</v>
      </c>
      <c r="K47" s="375"/>
      <c r="L47" s="375"/>
      <c r="M47" s="376"/>
      <c r="O47" s="391">
        <v>10</v>
      </c>
      <c r="P47" s="133"/>
      <c r="Q47" s="298"/>
      <c r="R47" s="298"/>
      <c r="S47" s="298"/>
      <c r="T47" s="299"/>
      <c r="U47" s="300"/>
      <c r="V47" s="298"/>
      <c r="W47" s="298"/>
      <c r="X47" s="298"/>
      <c r="Y47" s="299"/>
      <c r="Z47" s="287"/>
      <c r="AA47" s="288"/>
      <c r="AB47" s="288"/>
      <c r="AC47" s="289"/>
      <c r="AD47" s="287"/>
      <c r="AE47" s="288"/>
      <c r="AF47" s="396"/>
      <c r="AL47" s="505"/>
    </row>
    <row r="48" spans="2:53" ht="90.75" customHeight="1" thickBot="1" x14ac:dyDescent="0.35">
      <c r="B48" s="296"/>
      <c r="C48" s="297"/>
      <c r="D48" s="372"/>
      <c r="E48" s="372"/>
      <c r="F48" s="134"/>
      <c r="G48" s="480"/>
      <c r="H48" s="481"/>
      <c r="I48" s="481"/>
      <c r="J48" s="377"/>
      <c r="K48" s="377"/>
      <c r="L48" s="377"/>
      <c r="M48" s="378"/>
      <c r="O48" s="392" t="s">
        <v>102</v>
      </c>
      <c r="P48" s="383"/>
      <c r="Q48" s="383"/>
      <c r="R48" s="383"/>
      <c r="S48" s="383"/>
      <c r="T48" s="383"/>
      <c r="U48" s="383"/>
      <c r="V48" s="383"/>
      <c r="W48" s="383"/>
      <c r="X48" s="383"/>
      <c r="Y48" s="384"/>
      <c r="Z48" s="385">
        <f>SUM(Z38:AC47)</f>
        <v>0</v>
      </c>
      <c r="AA48" s="386"/>
      <c r="AB48" s="386"/>
      <c r="AC48" s="386"/>
      <c r="AD48" s="386"/>
      <c r="AE48" s="386"/>
      <c r="AF48" s="397"/>
    </row>
    <row r="49" spans="1:32" ht="50.1" customHeight="1" thickTop="1" thickBot="1" x14ac:dyDescent="0.35">
      <c r="B49" s="135"/>
      <c r="C49" s="135"/>
      <c r="D49" s="135"/>
      <c r="E49" s="135"/>
      <c r="F49" s="135"/>
      <c r="G49" s="136"/>
      <c r="H49" s="136"/>
      <c r="I49" s="136"/>
      <c r="J49" s="136"/>
      <c r="K49" s="136"/>
      <c r="L49" s="136"/>
      <c r="M49" s="137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</row>
    <row r="50" spans="1:32" ht="69.95" customHeight="1" thickTop="1" thickBot="1" x14ac:dyDescent="0.35">
      <c r="B50" s="301" t="s">
        <v>78</v>
      </c>
      <c r="C50" s="302"/>
      <c r="D50" s="302"/>
      <c r="E50" s="303"/>
      <c r="F50" s="135"/>
      <c r="G50" s="304" t="s">
        <v>79</v>
      </c>
      <c r="H50" s="305"/>
      <c r="I50" s="305"/>
      <c r="J50" s="305"/>
      <c r="K50" s="305"/>
      <c r="L50" s="305"/>
      <c r="M50" s="306"/>
      <c r="O50" s="452" t="s">
        <v>80</v>
      </c>
      <c r="P50" s="453"/>
      <c r="Q50" s="453"/>
      <c r="R50" s="453"/>
      <c r="S50" s="453"/>
      <c r="T50" s="453"/>
      <c r="U50" s="453"/>
      <c r="V50" s="453"/>
      <c r="W50" s="453"/>
      <c r="X50" s="453"/>
      <c r="Y50" s="454"/>
      <c r="AA50" s="502" t="s">
        <v>81</v>
      </c>
      <c r="AB50" s="503"/>
      <c r="AC50" s="503"/>
      <c r="AD50" s="503"/>
      <c r="AE50" s="503"/>
      <c r="AF50" s="504"/>
    </row>
    <row r="51" spans="1:32" ht="69.95" customHeight="1" thickBot="1" x14ac:dyDescent="0.35">
      <c r="A51" s="139"/>
      <c r="B51" s="100" t="s">
        <v>3</v>
      </c>
      <c r="C51" s="140" t="s">
        <v>4</v>
      </c>
      <c r="D51" s="140" t="s">
        <v>82</v>
      </c>
      <c r="E51" s="490" t="s">
        <v>48</v>
      </c>
      <c r="F51" s="137"/>
      <c r="G51" s="435" t="s">
        <v>19</v>
      </c>
      <c r="H51" s="101" t="s">
        <v>48</v>
      </c>
      <c r="I51" s="307" t="s">
        <v>5</v>
      </c>
      <c r="J51" s="308"/>
      <c r="K51" s="309" t="s">
        <v>83</v>
      </c>
      <c r="L51" s="309"/>
      <c r="M51" s="438"/>
      <c r="O51" s="455" t="s">
        <v>65</v>
      </c>
      <c r="P51" s="310" t="s">
        <v>84</v>
      </c>
      <c r="Q51" s="311"/>
      <c r="R51" s="311"/>
      <c r="S51" s="311"/>
      <c r="T51" s="310" t="s">
        <v>68</v>
      </c>
      <c r="U51" s="311"/>
      <c r="V51" s="311"/>
      <c r="W51" s="312"/>
      <c r="X51" s="313" t="s">
        <v>48</v>
      </c>
      <c r="Y51" s="456"/>
      <c r="Z51" s="141"/>
      <c r="AA51" s="466" t="s">
        <v>48</v>
      </c>
      <c r="AB51" s="326"/>
      <c r="AC51" s="327"/>
      <c r="AD51" s="328" t="s">
        <v>85</v>
      </c>
      <c r="AE51" s="329"/>
      <c r="AF51" s="467"/>
    </row>
    <row r="52" spans="1:32" ht="58.5" customHeight="1" x14ac:dyDescent="0.3">
      <c r="A52" s="139"/>
      <c r="B52" s="11" t="s">
        <v>18</v>
      </c>
      <c r="C52" s="12">
        <v>2800000</v>
      </c>
      <c r="D52" s="13"/>
      <c r="E52" s="14"/>
      <c r="F52" s="137"/>
      <c r="G52" s="103" t="s">
        <v>86</v>
      </c>
      <c r="H52" s="105">
        <v>55000</v>
      </c>
      <c r="I52" s="314"/>
      <c r="J52" s="315"/>
      <c r="K52" s="316"/>
      <c r="L52" s="317"/>
      <c r="M52" s="439"/>
      <c r="O52" s="457">
        <v>1</v>
      </c>
      <c r="P52" s="318"/>
      <c r="Q52" s="319"/>
      <c r="R52" s="319"/>
      <c r="S52" s="320"/>
      <c r="T52" s="321"/>
      <c r="U52" s="322"/>
      <c r="V52" s="323"/>
      <c r="W52" s="324"/>
      <c r="X52" s="325"/>
      <c r="Y52" s="458"/>
      <c r="Z52" s="142"/>
      <c r="AA52" s="466">
        <v>200000</v>
      </c>
      <c r="AB52" s="326"/>
      <c r="AC52" s="327"/>
      <c r="AD52" s="328">
        <v>200000</v>
      </c>
      <c r="AE52" s="329"/>
      <c r="AF52" s="467"/>
    </row>
    <row r="53" spans="1:32" ht="58.5" customHeight="1" x14ac:dyDescent="0.3">
      <c r="A53" s="139"/>
      <c r="B53" s="22" t="s">
        <v>22</v>
      </c>
      <c r="C53" s="23">
        <v>100000</v>
      </c>
      <c r="D53" s="24"/>
      <c r="E53" s="25"/>
      <c r="F53" s="137"/>
      <c r="G53" s="64" t="s">
        <v>87</v>
      </c>
      <c r="H53" s="107">
        <v>346000</v>
      </c>
      <c r="I53" s="330"/>
      <c r="J53" s="331"/>
      <c r="K53" s="332"/>
      <c r="L53" s="333"/>
      <c r="M53" s="440"/>
      <c r="N53" s="137"/>
      <c r="O53" s="457">
        <v>2</v>
      </c>
      <c r="P53" s="318"/>
      <c r="Q53" s="334"/>
      <c r="R53" s="334"/>
      <c r="S53" s="335"/>
      <c r="T53" s="321"/>
      <c r="U53" s="322"/>
      <c r="V53" s="323"/>
      <c r="W53" s="324"/>
      <c r="X53" s="325"/>
      <c r="Y53" s="458"/>
      <c r="Z53" s="465"/>
      <c r="AA53" s="466" t="s">
        <v>88</v>
      </c>
      <c r="AB53" s="326"/>
      <c r="AC53" s="327"/>
      <c r="AD53" s="328">
        <v>194000</v>
      </c>
      <c r="AE53" s="329"/>
      <c r="AF53" s="467"/>
    </row>
    <row r="54" spans="1:32" ht="58.5" customHeight="1" x14ac:dyDescent="0.3">
      <c r="A54" s="139"/>
      <c r="B54" s="30" t="s">
        <v>24</v>
      </c>
      <c r="C54" s="23">
        <v>400000</v>
      </c>
      <c r="D54" s="24"/>
      <c r="E54" s="25"/>
      <c r="F54" s="137"/>
      <c r="G54" s="64" t="s">
        <v>51</v>
      </c>
      <c r="H54" s="107">
        <v>5000</v>
      </c>
      <c r="I54" s="330"/>
      <c r="J54" s="331"/>
      <c r="K54" s="332"/>
      <c r="L54" s="333"/>
      <c r="M54" s="440"/>
      <c r="N54" s="137"/>
      <c r="O54" s="457">
        <v>3</v>
      </c>
      <c r="P54" s="318"/>
      <c r="Q54" s="334"/>
      <c r="R54" s="334"/>
      <c r="S54" s="335"/>
      <c r="T54" s="321"/>
      <c r="U54" s="322"/>
      <c r="V54" s="323"/>
      <c r="W54" s="324"/>
      <c r="X54" s="325"/>
      <c r="Y54" s="458"/>
      <c r="Z54" s="142"/>
      <c r="AA54" s="466"/>
      <c r="AB54" s="326"/>
      <c r="AC54" s="327"/>
      <c r="AD54" s="328"/>
      <c r="AE54" s="329"/>
      <c r="AF54" s="467"/>
    </row>
    <row r="55" spans="1:32" ht="58.5" customHeight="1" x14ac:dyDescent="0.3">
      <c r="A55" s="139"/>
      <c r="B55" s="30" t="s">
        <v>29</v>
      </c>
      <c r="C55" s="23">
        <v>400000</v>
      </c>
      <c r="D55" s="24"/>
      <c r="E55" s="25"/>
      <c r="F55" s="137"/>
      <c r="G55" s="88" t="s">
        <v>52</v>
      </c>
      <c r="H55" s="110">
        <v>2000</v>
      </c>
      <c r="I55" s="330"/>
      <c r="J55" s="331"/>
      <c r="K55" s="332"/>
      <c r="L55" s="333"/>
      <c r="M55" s="440"/>
      <c r="N55" s="137"/>
      <c r="O55" s="457">
        <v>4</v>
      </c>
      <c r="P55" s="318"/>
      <c r="Q55" s="334"/>
      <c r="R55" s="334"/>
      <c r="S55" s="335"/>
      <c r="T55" s="321"/>
      <c r="U55" s="322"/>
      <c r="V55" s="323"/>
      <c r="W55" s="324"/>
      <c r="X55" s="325"/>
      <c r="Y55" s="458"/>
      <c r="Z55" s="142"/>
      <c r="AA55" s="466"/>
      <c r="AB55" s="326"/>
      <c r="AC55" s="327"/>
      <c r="AD55" s="328"/>
      <c r="AE55" s="329"/>
      <c r="AF55" s="467"/>
    </row>
    <row r="56" spans="1:32" ht="58.5" customHeight="1" x14ac:dyDescent="0.3">
      <c r="A56" s="139"/>
      <c r="B56" s="30" t="s">
        <v>31</v>
      </c>
      <c r="C56" s="23">
        <v>350000</v>
      </c>
      <c r="D56" s="24"/>
      <c r="E56" s="25"/>
      <c r="F56" s="137"/>
      <c r="G56" s="64"/>
      <c r="H56" s="107"/>
      <c r="I56" s="336"/>
      <c r="J56" s="337"/>
      <c r="K56" s="338"/>
      <c r="L56" s="339"/>
      <c r="M56" s="441"/>
      <c r="N56" s="137"/>
      <c r="O56" s="457">
        <v>5</v>
      </c>
      <c r="P56" s="318"/>
      <c r="Q56" s="334"/>
      <c r="R56" s="334"/>
      <c r="S56" s="335"/>
      <c r="T56" s="321"/>
      <c r="U56" s="322"/>
      <c r="V56" s="323"/>
      <c r="W56" s="324"/>
      <c r="X56" s="325"/>
      <c r="Y56" s="458"/>
      <c r="Z56" s="143"/>
      <c r="AA56" s="466"/>
      <c r="AB56" s="326"/>
      <c r="AC56" s="327"/>
      <c r="AD56" s="328"/>
      <c r="AE56" s="329"/>
      <c r="AF56" s="467"/>
    </row>
    <row r="57" spans="1:32" ht="58.5" customHeight="1" x14ac:dyDescent="0.3">
      <c r="A57" s="139"/>
      <c r="B57" s="64" t="s">
        <v>33</v>
      </c>
      <c r="C57" s="65">
        <v>100000</v>
      </c>
      <c r="D57" s="24"/>
      <c r="E57" s="25"/>
      <c r="F57" s="137"/>
      <c r="G57" s="64"/>
      <c r="H57" s="107"/>
      <c r="I57" s="336"/>
      <c r="J57" s="337"/>
      <c r="K57" s="338"/>
      <c r="L57" s="339"/>
      <c r="M57" s="441"/>
      <c r="N57" s="137"/>
      <c r="O57" s="457">
        <v>6</v>
      </c>
      <c r="P57" s="318"/>
      <c r="Q57" s="334"/>
      <c r="R57" s="334"/>
      <c r="S57" s="335"/>
      <c r="T57" s="321"/>
      <c r="U57" s="322"/>
      <c r="V57" s="323"/>
      <c r="W57" s="324"/>
      <c r="X57" s="325"/>
      <c r="Y57" s="458"/>
      <c r="Z57" s="143"/>
      <c r="AA57" s="466"/>
      <c r="AB57" s="326"/>
      <c r="AC57" s="327"/>
      <c r="AD57" s="328"/>
      <c r="AE57" s="329"/>
      <c r="AF57" s="467"/>
    </row>
    <row r="58" spans="1:32" ht="58.5" customHeight="1" x14ac:dyDescent="0.3">
      <c r="A58" s="139"/>
      <c r="B58" s="64" t="s">
        <v>35</v>
      </c>
      <c r="C58" s="65">
        <v>50000</v>
      </c>
      <c r="D58" s="24"/>
      <c r="E58" s="25"/>
      <c r="F58" s="137"/>
      <c r="G58" s="64"/>
      <c r="H58" s="107"/>
      <c r="I58" s="336"/>
      <c r="J58" s="337"/>
      <c r="K58" s="338"/>
      <c r="L58" s="339"/>
      <c r="M58" s="441"/>
      <c r="N58" s="137"/>
      <c r="O58" s="457">
        <v>7</v>
      </c>
      <c r="P58" s="318"/>
      <c r="Q58" s="334"/>
      <c r="R58" s="334"/>
      <c r="S58" s="335"/>
      <c r="T58" s="321"/>
      <c r="U58" s="322"/>
      <c r="V58" s="323"/>
      <c r="W58" s="324"/>
      <c r="X58" s="325"/>
      <c r="Y58" s="458"/>
      <c r="Z58" s="143"/>
      <c r="AA58" s="466"/>
      <c r="AB58" s="326"/>
      <c r="AC58" s="327"/>
      <c r="AD58" s="328"/>
      <c r="AE58" s="329"/>
      <c r="AF58" s="467"/>
    </row>
    <row r="59" spans="1:32" ht="58.5" customHeight="1" x14ac:dyDescent="0.3">
      <c r="A59" s="139"/>
      <c r="B59" s="64" t="s">
        <v>37</v>
      </c>
      <c r="C59" s="65">
        <v>50000</v>
      </c>
      <c r="D59" s="24"/>
      <c r="E59" s="25"/>
      <c r="F59" s="137"/>
      <c r="G59" s="436"/>
      <c r="H59" s="144"/>
      <c r="I59" s="336"/>
      <c r="J59" s="337"/>
      <c r="K59" s="340"/>
      <c r="L59" s="341"/>
      <c r="M59" s="442"/>
      <c r="N59" s="137"/>
      <c r="O59" s="457">
        <v>8</v>
      </c>
      <c r="P59" s="318"/>
      <c r="Q59" s="334"/>
      <c r="R59" s="334"/>
      <c r="S59" s="335"/>
      <c r="T59" s="321"/>
      <c r="U59" s="322"/>
      <c r="V59" s="323"/>
      <c r="W59" s="324"/>
      <c r="X59" s="325"/>
      <c r="Y59" s="458"/>
      <c r="Z59" s="145"/>
      <c r="AA59" s="466"/>
      <c r="AB59" s="326"/>
      <c r="AC59" s="327"/>
      <c r="AD59" s="328"/>
      <c r="AE59" s="329"/>
      <c r="AF59" s="467"/>
    </row>
    <row r="60" spans="1:32" ht="58.5" customHeight="1" x14ac:dyDescent="0.3">
      <c r="A60" s="139"/>
      <c r="B60" s="64" t="s">
        <v>39</v>
      </c>
      <c r="C60" s="65">
        <v>150000</v>
      </c>
      <c r="D60" s="81"/>
      <c r="E60" s="25"/>
      <c r="F60" s="137"/>
      <c r="G60" s="436"/>
      <c r="H60" s="107"/>
      <c r="I60" s="336"/>
      <c r="J60" s="337"/>
      <c r="K60" s="437"/>
      <c r="L60" s="437"/>
      <c r="M60" s="443"/>
      <c r="N60" s="137"/>
      <c r="O60" s="457">
        <v>9</v>
      </c>
      <c r="P60" s="342"/>
      <c r="Q60" s="319"/>
      <c r="R60" s="319"/>
      <c r="S60" s="320"/>
      <c r="T60" s="321"/>
      <c r="U60" s="322"/>
      <c r="V60" s="323"/>
      <c r="W60" s="324"/>
      <c r="X60" s="325"/>
      <c r="Y60" s="458"/>
      <c r="Z60" s="145"/>
      <c r="AA60" s="466"/>
      <c r="AB60" s="326"/>
      <c r="AC60" s="327"/>
      <c r="AD60" s="328"/>
      <c r="AE60" s="329"/>
      <c r="AF60" s="467"/>
    </row>
    <row r="61" spans="1:32" ht="58.5" customHeight="1" x14ac:dyDescent="0.3">
      <c r="A61" s="139"/>
      <c r="B61" s="64" t="s">
        <v>41</v>
      </c>
      <c r="C61" s="65">
        <v>100000</v>
      </c>
      <c r="D61" s="24"/>
      <c r="E61" s="25"/>
      <c r="F61" s="137"/>
      <c r="G61" s="436"/>
      <c r="H61" s="107"/>
      <c r="I61" s="336"/>
      <c r="J61" s="337"/>
      <c r="K61" s="338"/>
      <c r="L61" s="339"/>
      <c r="M61" s="441"/>
      <c r="N61" s="137"/>
      <c r="O61" s="457">
        <v>10</v>
      </c>
      <c r="P61" s="342"/>
      <c r="Q61" s="319"/>
      <c r="R61" s="319"/>
      <c r="S61" s="320"/>
      <c r="T61" s="321"/>
      <c r="U61" s="322"/>
      <c r="V61" s="323"/>
      <c r="W61" s="324"/>
      <c r="X61" s="325"/>
      <c r="Y61" s="458"/>
      <c r="Z61" s="145"/>
      <c r="AA61" s="466"/>
      <c r="AB61" s="326"/>
      <c r="AC61" s="327"/>
      <c r="AD61" s="328"/>
      <c r="AE61" s="329"/>
      <c r="AF61" s="467"/>
    </row>
    <row r="62" spans="1:32" ht="58.5" customHeight="1" x14ac:dyDescent="0.3">
      <c r="A62" s="139"/>
      <c r="B62" s="64" t="s">
        <v>25</v>
      </c>
      <c r="C62" s="65">
        <v>650000</v>
      </c>
      <c r="D62" s="24"/>
      <c r="E62" s="25"/>
      <c r="F62" s="137"/>
      <c r="G62" s="64"/>
      <c r="H62" s="107"/>
      <c r="I62" s="336"/>
      <c r="J62" s="337"/>
      <c r="K62" s="340"/>
      <c r="L62" s="341"/>
      <c r="M62" s="442"/>
      <c r="N62" s="137"/>
      <c r="O62" s="457">
        <v>11</v>
      </c>
      <c r="P62" s="342"/>
      <c r="Q62" s="319"/>
      <c r="R62" s="319"/>
      <c r="S62" s="320"/>
      <c r="T62" s="321"/>
      <c r="U62" s="322"/>
      <c r="V62" s="323"/>
      <c r="W62" s="324"/>
      <c r="X62" s="325"/>
      <c r="Y62" s="458"/>
      <c r="Z62" s="145"/>
      <c r="AA62" s="466"/>
      <c r="AB62" s="326"/>
      <c r="AC62" s="327"/>
      <c r="AD62" s="328"/>
      <c r="AE62" s="329"/>
      <c r="AF62" s="467"/>
    </row>
    <row r="63" spans="1:32" ht="58.5" customHeight="1" thickBot="1" x14ac:dyDescent="0.35">
      <c r="A63" s="139"/>
      <c r="B63" s="491" t="s">
        <v>27</v>
      </c>
      <c r="C63" s="146">
        <v>900000</v>
      </c>
      <c r="D63" s="147"/>
      <c r="E63" s="492"/>
      <c r="F63" s="137"/>
      <c r="G63" s="431"/>
      <c r="H63" s="379"/>
      <c r="I63" s="380"/>
      <c r="J63" s="379"/>
      <c r="K63" s="381"/>
      <c r="L63" s="382"/>
      <c r="M63" s="444"/>
      <c r="N63" s="137"/>
      <c r="O63" s="459">
        <v>12</v>
      </c>
      <c r="P63" s="343"/>
      <c r="Q63" s="344"/>
      <c r="R63" s="344"/>
      <c r="S63" s="345"/>
      <c r="T63" s="346"/>
      <c r="U63" s="347"/>
      <c r="V63" s="348"/>
      <c r="W63" s="349"/>
      <c r="X63" s="343"/>
      <c r="Y63" s="460"/>
      <c r="Z63" s="145"/>
      <c r="AA63" s="468"/>
      <c r="AB63" s="469"/>
      <c r="AC63" s="148"/>
      <c r="AD63" s="149"/>
      <c r="AE63" s="470"/>
      <c r="AF63" s="471"/>
    </row>
    <row r="64" spans="1:32" ht="58.5" customHeight="1" thickBot="1" x14ac:dyDescent="0.35">
      <c r="A64" s="139"/>
      <c r="B64" s="350" t="s">
        <v>17</v>
      </c>
      <c r="C64" s="351"/>
      <c r="D64" s="150">
        <f>SUM(D52:D61)</f>
        <v>0</v>
      </c>
      <c r="E64" s="151">
        <f>SUM(E52:E63)</f>
        <v>0</v>
      </c>
      <c r="F64" s="137"/>
      <c r="G64" s="445" t="s">
        <v>89</v>
      </c>
      <c r="H64" s="446"/>
      <c r="I64" s="447">
        <v>0</v>
      </c>
      <c r="J64" s="448"/>
      <c r="K64" s="449">
        <f>SUM(K52:M62)</f>
        <v>0</v>
      </c>
      <c r="L64" s="450"/>
      <c r="M64" s="451"/>
      <c r="N64" s="137"/>
      <c r="O64" s="461"/>
      <c r="P64" s="462"/>
      <c r="Q64" s="462"/>
      <c r="R64" s="462"/>
      <c r="S64" s="462"/>
      <c r="T64" s="462"/>
      <c r="U64" s="463"/>
      <c r="V64" s="464" t="s">
        <v>77</v>
      </c>
      <c r="W64" s="493">
        <f>SUM(X52:Y63)</f>
        <v>0</v>
      </c>
      <c r="X64" s="494"/>
      <c r="Y64" s="495"/>
      <c r="Z64" s="152"/>
      <c r="AA64" s="472"/>
      <c r="AB64" s="473"/>
      <c r="AC64" s="474"/>
      <c r="AD64" s="475"/>
      <c r="AE64" s="473"/>
      <c r="AF64" s="476"/>
    </row>
    <row r="65" spans="1:53" ht="17.25" customHeight="1" thickTop="1" x14ac:dyDescent="0.3">
      <c r="A65" s="139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</row>
    <row r="66" spans="1:53" x14ac:dyDescent="0.3">
      <c r="A66" s="139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</row>
    <row r="67" spans="1:53" x14ac:dyDescent="0.3">
      <c r="A67" s="139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</row>
    <row r="68" spans="1:53" s="129" customFormat="1" ht="69.95" customHeight="1" x14ac:dyDescent="0.3">
      <c r="A68" s="153"/>
    </row>
    <row r="69" spans="1:53" s="129" customFormat="1" ht="69.95" customHeight="1" x14ac:dyDescent="0.3">
      <c r="A69" s="153"/>
    </row>
    <row r="70" spans="1:53" s="129" customFormat="1" ht="69.95" customHeight="1" x14ac:dyDescent="0.3">
      <c r="A70" s="153"/>
    </row>
    <row r="71" spans="1:53" s="129" customFormat="1" ht="69.95" customHeight="1" x14ac:dyDescent="0.3">
      <c r="A71" s="153"/>
    </row>
    <row r="72" spans="1:53" s="129" customFormat="1" ht="69.95" customHeight="1" x14ac:dyDescent="0.3">
      <c r="A72" s="153"/>
    </row>
    <row r="73" spans="1:53" s="129" customFormat="1" ht="69.95" customHeight="1" x14ac:dyDescent="0.3">
      <c r="A73" s="153"/>
    </row>
    <row r="74" spans="1:53" s="129" customFormat="1" ht="69.95" customHeight="1" x14ac:dyDescent="0.3">
      <c r="A74" s="153"/>
    </row>
    <row r="75" spans="1:53" s="129" customFormat="1" ht="69.95" customHeight="1" x14ac:dyDescent="0.3">
      <c r="A75" s="153"/>
    </row>
    <row r="76" spans="1:53" s="129" customFormat="1" ht="69.95" customHeight="1" x14ac:dyDescent="0.3">
      <c r="A76" s="153"/>
    </row>
    <row r="77" spans="1:53" s="129" customFormat="1" ht="69.95" customHeight="1" x14ac:dyDescent="0.3">
      <c r="A77" s="153"/>
    </row>
    <row r="78" spans="1:53" ht="69.95" customHeight="1" x14ac:dyDescent="0.3"/>
    <row r="79" spans="1:53" s="1" customFormat="1" ht="69.95" customHeigh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s="1" customFormat="1" ht="69.95" customHeigh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2:53" s="1" customFormat="1" ht="69.95" customHeigh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2:53" s="1" customFormat="1" ht="69.95" customHeigh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2:53" s="1" customFormat="1" ht="69.95" customHeigh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2:53" s="1" customFormat="1" ht="69.95" customHeigh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2:53" s="1" customFormat="1" ht="69.95" customHeigh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2:53" s="1" customFormat="1" ht="69.95" customHeigh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2:53" s="1" customFormat="1" ht="69.95" customHeigh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2:53" s="1" customFormat="1" ht="69.95" customHeigh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</sheetData>
  <mergeCells count="295">
    <mergeCell ref="B19:C19"/>
    <mergeCell ref="B27:C27"/>
    <mergeCell ref="B2:Z3"/>
    <mergeCell ref="T31:Y32"/>
    <mergeCell ref="B64:C64"/>
    <mergeCell ref="G64:H64"/>
    <mergeCell ref="I64:J64"/>
    <mergeCell ref="K64:M64"/>
    <mergeCell ref="O64:U64"/>
    <mergeCell ref="W64:Y64"/>
    <mergeCell ref="AA64:AC64"/>
    <mergeCell ref="AD64:AF64"/>
    <mergeCell ref="B30:Q32"/>
    <mergeCell ref="I62:J62"/>
    <mergeCell ref="K62:M62"/>
    <mergeCell ref="P62:S62"/>
    <mergeCell ref="T62:U62"/>
    <mergeCell ref="V62:W62"/>
    <mergeCell ref="X62:Y62"/>
    <mergeCell ref="AA62:AC62"/>
    <mergeCell ref="AD62:AF62"/>
    <mergeCell ref="P63:S63"/>
    <mergeCell ref="T63:U63"/>
    <mergeCell ref="V63:W63"/>
    <mergeCell ref="X63:Y63"/>
    <mergeCell ref="I60:J60"/>
    <mergeCell ref="K60:M60"/>
    <mergeCell ref="P60:S60"/>
    <mergeCell ref="T60:U60"/>
    <mergeCell ref="V60:W60"/>
    <mergeCell ref="X60:Y60"/>
    <mergeCell ref="AA60:AC60"/>
    <mergeCell ref="AD60:AF60"/>
    <mergeCell ref="I61:J61"/>
    <mergeCell ref="K61:M61"/>
    <mergeCell ref="P61:S61"/>
    <mergeCell ref="T61:U61"/>
    <mergeCell ref="V61:W61"/>
    <mergeCell ref="X61:Y61"/>
    <mergeCell ref="AA61:AC61"/>
    <mergeCell ref="AD61:AF61"/>
    <mergeCell ref="I58:J58"/>
    <mergeCell ref="K58:M58"/>
    <mergeCell ref="P58:S58"/>
    <mergeCell ref="T58:U58"/>
    <mergeCell ref="V58:W58"/>
    <mergeCell ref="X58:Y58"/>
    <mergeCell ref="AA58:AC58"/>
    <mergeCell ref="AD58:AF58"/>
    <mergeCell ref="I59:J59"/>
    <mergeCell ref="K59:M59"/>
    <mergeCell ref="P59:S59"/>
    <mergeCell ref="T59:U59"/>
    <mergeCell ref="V59:W59"/>
    <mergeCell ref="X59:Y59"/>
    <mergeCell ref="AA59:AC59"/>
    <mergeCell ref="AD59:AF59"/>
    <mergeCell ref="I56:J56"/>
    <mergeCell ref="K56:M56"/>
    <mergeCell ref="P56:S56"/>
    <mergeCell ref="T56:U56"/>
    <mergeCell ref="V56:W56"/>
    <mergeCell ref="X56:Y56"/>
    <mergeCell ref="AA56:AC56"/>
    <mergeCell ref="AD56:AF56"/>
    <mergeCell ref="I57:J57"/>
    <mergeCell ref="K57:M57"/>
    <mergeCell ref="P57:S57"/>
    <mergeCell ref="T57:U57"/>
    <mergeCell ref="V57:W57"/>
    <mergeCell ref="X57:Y57"/>
    <mergeCell ref="AA57:AC57"/>
    <mergeCell ref="AD57:AF57"/>
    <mergeCell ref="I54:J54"/>
    <mergeCell ref="K54:M54"/>
    <mergeCell ref="P54:S54"/>
    <mergeCell ref="T54:U54"/>
    <mergeCell ref="V54:W54"/>
    <mergeCell ref="X54:Y54"/>
    <mergeCell ref="AA54:AC54"/>
    <mergeCell ref="AD54:AF54"/>
    <mergeCell ref="I55:J55"/>
    <mergeCell ref="K55:M55"/>
    <mergeCell ref="P55:S55"/>
    <mergeCell ref="T55:U55"/>
    <mergeCell ref="V55:W55"/>
    <mergeCell ref="X55:Y55"/>
    <mergeCell ref="AA55:AC55"/>
    <mergeCell ref="AD55:AF55"/>
    <mergeCell ref="I52:J52"/>
    <mergeCell ref="K52:M52"/>
    <mergeCell ref="P52:S52"/>
    <mergeCell ref="T52:U52"/>
    <mergeCell ref="V52:W52"/>
    <mergeCell ref="X52:Y52"/>
    <mergeCell ref="AA52:AC52"/>
    <mergeCell ref="AD52:AF52"/>
    <mergeCell ref="I53:J53"/>
    <mergeCell ref="K53:M53"/>
    <mergeCell ref="P53:S53"/>
    <mergeCell ref="T53:U53"/>
    <mergeCell ref="V53:W53"/>
    <mergeCell ref="X53:Y53"/>
    <mergeCell ref="AA53:AC53"/>
    <mergeCell ref="AD53:AF53"/>
    <mergeCell ref="B50:E50"/>
    <mergeCell ref="G50:M50"/>
    <mergeCell ref="O50:Y50"/>
    <mergeCell ref="AA50:AF50"/>
    <mergeCell ref="I51:J51"/>
    <mergeCell ref="K51:M51"/>
    <mergeCell ref="P51:S51"/>
    <mergeCell ref="T51:W51"/>
    <mergeCell ref="X51:Y51"/>
    <mergeCell ref="AA51:AC51"/>
    <mergeCell ref="AD51:AF51"/>
    <mergeCell ref="B47:C48"/>
    <mergeCell ref="D47:E48"/>
    <mergeCell ref="G47:I48"/>
    <mergeCell ref="J47:M48"/>
    <mergeCell ref="Q47:T47"/>
    <mergeCell ref="U47:Y47"/>
    <mergeCell ref="Z47:AC47"/>
    <mergeCell ref="AD47:AF47"/>
    <mergeCell ref="O48:Y48"/>
    <mergeCell ref="Z48:AF48"/>
    <mergeCell ref="J45:M45"/>
    <mergeCell ref="Q45:T45"/>
    <mergeCell ref="U45:Y45"/>
    <mergeCell ref="Z45:AC45"/>
    <mergeCell ref="AD45:AF45"/>
    <mergeCell ref="B46:C46"/>
    <mergeCell ref="D46:E46"/>
    <mergeCell ref="G46:I46"/>
    <mergeCell ref="J46:M46"/>
    <mergeCell ref="Q46:T46"/>
    <mergeCell ref="U46:Y46"/>
    <mergeCell ref="Z46:AC46"/>
    <mergeCell ref="AD46:AF46"/>
    <mergeCell ref="B42:E42"/>
    <mergeCell ref="G42:M42"/>
    <mergeCell ref="Q42:T42"/>
    <mergeCell ref="U42:Y42"/>
    <mergeCell ref="Z42:AC42"/>
    <mergeCell ref="AD42:AF42"/>
    <mergeCell ref="D43:E43"/>
    <mergeCell ref="H43:I43"/>
    <mergeCell ref="J43:M43"/>
    <mergeCell ref="Q43:T43"/>
    <mergeCell ref="U43:Y43"/>
    <mergeCell ref="Z43:AC43"/>
    <mergeCell ref="AD43:AF43"/>
    <mergeCell ref="B43:B45"/>
    <mergeCell ref="D44:E44"/>
    <mergeCell ref="G43:G45"/>
    <mergeCell ref="H44:I44"/>
    <mergeCell ref="J44:M44"/>
    <mergeCell ref="Q44:T44"/>
    <mergeCell ref="U44:Y44"/>
    <mergeCell ref="Z44:AC44"/>
    <mergeCell ref="AD44:AF44"/>
    <mergeCell ref="D45:E45"/>
    <mergeCell ref="H45:I45"/>
    <mergeCell ref="AD40:AF40"/>
    <mergeCell ref="B41:C41"/>
    <mergeCell ref="D41:E41"/>
    <mergeCell ref="G41:I41"/>
    <mergeCell ref="J41:M41"/>
    <mergeCell ref="Q41:T41"/>
    <mergeCell ref="U41:Y41"/>
    <mergeCell ref="Z41:AC41"/>
    <mergeCell ref="AD41:AF41"/>
    <mergeCell ref="Q39:T39"/>
    <mergeCell ref="U39:Y39"/>
    <mergeCell ref="Z39:AC39"/>
    <mergeCell ref="D40:E40"/>
    <mergeCell ref="H40:I40"/>
    <mergeCell ref="J40:M40"/>
    <mergeCell ref="Q40:T40"/>
    <mergeCell ref="U40:Y40"/>
    <mergeCell ref="Z40:AC40"/>
    <mergeCell ref="AA33:AB35"/>
    <mergeCell ref="AC33:AD35"/>
    <mergeCell ref="AE33:AF35"/>
    <mergeCell ref="B34:E36"/>
    <mergeCell ref="G34:M36"/>
    <mergeCell ref="O34:Y36"/>
    <mergeCell ref="D37:E37"/>
    <mergeCell ref="H37:I37"/>
    <mergeCell ref="J37:M37"/>
    <mergeCell ref="Q37:T37"/>
    <mergeCell ref="U37:Y37"/>
    <mergeCell ref="Z37:AC37"/>
    <mergeCell ref="AD37:AF37"/>
    <mergeCell ref="B37:B40"/>
    <mergeCell ref="D38:E38"/>
    <mergeCell ref="G37:G40"/>
    <mergeCell ref="H38:I38"/>
    <mergeCell ref="J38:M38"/>
    <mergeCell ref="Q38:T38"/>
    <mergeCell ref="U38:Y38"/>
    <mergeCell ref="Z38:AC38"/>
    <mergeCell ref="D39:E39"/>
    <mergeCell ref="H39:I39"/>
    <mergeCell ref="J39:M39"/>
    <mergeCell ref="Y25:Z25"/>
    <mergeCell ref="AA25:AB25"/>
    <mergeCell ref="AC25:AD25"/>
    <mergeCell ref="AE25:AF25"/>
    <mergeCell ref="G26:H27"/>
    <mergeCell ref="I27:T27"/>
    <mergeCell ref="U27:AF27"/>
    <mergeCell ref="AA30:AF31"/>
    <mergeCell ref="AA32:AB32"/>
    <mergeCell ref="AC32:AD32"/>
    <mergeCell ref="AE32:AF32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3:Z23"/>
    <mergeCell ref="AA23:AB23"/>
    <mergeCell ref="AC23:AD23"/>
    <mergeCell ref="AE23:AF23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S21:T21"/>
    <mergeCell ref="U21:V21"/>
    <mergeCell ref="W21:X21"/>
    <mergeCell ref="Y21:Z21"/>
    <mergeCell ref="AA21:AB21"/>
    <mergeCell ref="AC21:AD21"/>
    <mergeCell ref="AE21:AF21"/>
    <mergeCell ref="B22:E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A3:AF3"/>
    <mergeCell ref="B5:E5"/>
    <mergeCell ref="G5:AF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A6:AB6"/>
    <mergeCell ref="AC6:AD6"/>
    <mergeCell ref="AE6:AF6"/>
    <mergeCell ref="F6:F24"/>
    <mergeCell ref="G20:H20"/>
    <mergeCell ref="G21:H21"/>
    <mergeCell ref="I21:J21"/>
    <mergeCell ref="K21:L21"/>
    <mergeCell ref="M21:N21"/>
    <mergeCell ref="O21:P21"/>
    <mergeCell ref="Q21:R21"/>
  </mergeCells>
  <phoneticPr fontId="67" type="noConversion"/>
  <pageMargins left="0.25" right="0.25" top="0.75" bottom="0.75" header="0.3" footer="0.3"/>
  <pageSetup paperSize="9" scale="20" fitToHeight="0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2025-11-26T06:33:38Z</cp:lastPrinted>
  <dcterms:created xsi:type="dcterms:W3CDTF">2025-11-26T05:35:55Z</dcterms:created>
  <dcterms:modified xsi:type="dcterms:W3CDTF">2025-11-27T03:26:10Z</dcterms:modified>
</cp:coreProperties>
</file>